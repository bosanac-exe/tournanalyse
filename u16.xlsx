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ontariogov-my.sharepoint.com/personal/miralem_velic_ontario_ca/Documents/Desktop/projects/u16/"/>
    </mc:Choice>
  </mc:AlternateContent>
  <xr:revisionPtr revIDLastSave="1" documentId="11_584BE9A62C2BF00E1FBCA2D74F255EFCDD5F38CA" xr6:coauthVersionLast="47" xr6:coauthVersionMax="47" xr10:uidLastSave="{5E35F6FE-F292-4AF2-8947-BBC6F4C0707F}"/>
  <bookViews>
    <workbookView xWindow="-103" yWindow="-103" windowWidth="33120" windowHeight="18000" activeTab="1" xr2:uid="{00000000-000D-0000-FFFF-FFFF00000000}"/>
  </bookViews>
  <sheets>
    <sheet name="Sheet1" sheetId="1" r:id="rId1"/>
    <sheet name="Week 36-2026" sheetId="2" r:id="rId2"/>
  </sheets>
  <definedNames>
    <definedName name="_xlnm._FilterDatabase" localSheetId="1" hidden="1">'Week 36-2026'!$A$1:$N$1301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01" i="2" l="1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<sst xmlns="http://schemas.openxmlformats.org/spreadsheetml/2006/main" count="6759" uniqueCount="3011">
  <si>
    <t>Rank</t>
  </si>
  <si>
    <t>Year of Birth</t>
  </si>
  <si>
    <t>Player</t>
  </si>
  <si>
    <t>Profile</t>
  </si>
  <si>
    <t>Points</t>
  </si>
  <si>
    <t>Tournaments</t>
  </si>
  <si>
    <t>Province</t>
  </si>
  <si>
    <t>Club</t>
  </si>
  <si>
    <t>Singles WTN</t>
  </si>
  <si>
    <t>Career Matches</t>
  </si>
  <si>
    <t>Singles W/L-Career</t>
  </si>
  <si>
    <t>Singles W/L-YTD</t>
  </si>
  <si>
    <t>Singles W/L Career %</t>
  </si>
  <si>
    <t>Singles W/L-YTD %</t>
  </si>
  <si>
    <t>Isabella Ruyu Yan</t>
  </si>
  <si>
    <t>Tennis Saskatchewan</t>
  </si>
  <si>
    <t>No Club</t>
  </si>
  <si>
    <t>206 / 61</t>
  </si>
  <si>
    <t>8 / 0</t>
  </si>
  <si>
    <t>RACHEL WU</t>
  </si>
  <si>
    <t>British Columbia</t>
  </si>
  <si>
    <t>Richmond Country Club</t>
  </si>
  <si>
    <t>188 / 125</t>
  </si>
  <si>
    <t>12 / 3</t>
  </si>
  <si>
    <t>Ève Thibault</t>
  </si>
  <si>
    <t>Tennis Québec</t>
  </si>
  <si>
    <t>Centre récréatif de Repentigny / Académie Tennis Momentum</t>
  </si>
  <si>
    <t>244 / 169</t>
  </si>
  <si>
    <t>Milagros Helena Pastuszka</t>
  </si>
  <si>
    <t>Ontario Tennis Association</t>
  </si>
  <si>
    <t>117 / 59</t>
  </si>
  <si>
    <t>0 / 0</t>
  </si>
  <si>
    <t>Amy Shen</t>
  </si>
  <si>
    <t>Jericho Tennis Club</t>
  </si>
  <si>
    <t>284 / 85</t>
  </si>
  <si>
    <t>8 / 2</t>
  </si>
  <si>
    <t>Romy Gravenor</t>
  </si>
  <si>
    <t>256 / 159</t>
  </si>
  <si>
    <t>12 / 4</t>
  </si>
  <si>
    <t>Ava Mya Sanicharan</t>
  </si>
  <si>
    <t>188 / 116</t>
  </si>
  <si>
    <t>13 / 5</t>
  </si>
  <si>
    <t>Yelyzaveta Dovhopol</t>
  </si>
  <si>
    <t>The Tennis Centre</t>
  </si>
  <si>
    <t>125 / 18</t>
  </si>
  <si>
    <t>6 / 1</t>
  </si>
  <si>
    <t>Noelle Yuxuan Dai</t>
  </si>
  <si>
    <t>The Supreme Court Tennis Club</t>
  </si>
  <si>
    <t>unavailable</t>
  </si>
  <si>
    <t>242 / 117</t>
  </si>
  <si>
    <t>20 / 6</t>
  </si>
  <si>
    <t>Jasmine Li</t>
  </si>
  <si>
    <t>The Tennis School</t>
  </si>
  <si>
    <t>142 / 65</t>
  </si>
  <si>
    <t>5 / 0</t>
  </si>
  <si>
    <t>Payton Charley Dith</t>
  </si>
  <si>
    <t>White Oaks Inn &amp; Racquet Club</t>
  </si>
  <si>
    <t>241 / 132</t>
  </si>
  <si>
    <t>6 / 2</t>
  </si>
  <si>
    <t>Elisabeth Djabourian</t>
  </si>
  <si>
    <t>Tennis 13</t>
  </si>
  <si>
    <t>236 / 129</t>
  </si>
  <si>
    <t>11 / 3</t>
  </si>
  <si>
    <t>Karina Berska</t>
  </si>
  <si>
    <t>206 / 76</t>
  </si>
  <si>
    <t>21 / 8</t>
  </si>
  <si>
    <t>Alexie Duclair</t>
  </si>
  <si>
    <t>183 / 157</t>
  </si>
  <si>
    <t>7 / 5</t>
  </si>
  <si>
    <t>Diana Brustur</t>
  </si>
  <si>
    <t>Fainblum Tennis Academy</t>
  </si>
  <si>
    <t>238 / 119</t>
  </si>
  <si>
    <t>46 / 14</t>
  </si>
  <si>
    <t>Dongchen Ding</t>
  </si>
  <si>
    <t>Sobeys Stadium</t>
  </si>
  <si>
    <t>226 / 88</t>
  </si>
  <si>
    <t>3 / 2</t>
  </si>
  <si>
    <t>Mila Ajdukovic</t>
  </si>
  <si>
    <t>202 / 155</t>
  </si>
  <si>
    <t>9 / 3</t>
  </si>
  <si>
    <t>Evelina Nicolaeva</t>
  </si>
  <si>
    <t>Valan Tennis Academy</t>
  </si>
  <si>
    <t>202 / 136</t>
  </si>
  <si>
    <t>10 / 9</t>
  </si>
  <si>
    <t>Catherine Xie</t>
  </si>
  <si>
    <t>Club Sportif Côte-de-Liesse</t>
  </si>
  <si>
    <t>216 / 129</t>
  </si>
  <si>
    <t>Tessa Sari Puente</t>
  </si>
  <si>
    <t>SmartVMC Racquetsports by ACE</t>
  </si>
  <si>
    <t>173 / 81</t>
  </si>
  <si>
    <t>Mariia Shybanova</t>
  </si>
  <si>
    <t>Granite Club</t>
  </si>
  <si>
    <t>180 / 48</t>
  </si>
  <si>
    <t>32 / 10</t>
  </si>
  <si>
    <t>Chloé Sama</t>
  </si>
  <si>
    <t>Académie de tennis UNI(T)</t>
  </si>
  <si>
    <t>273 / 210</t>
  </si>
  <si>
    <t>22 / 18</t>
  </si>
  <si>
    <t>Emma Cuirassier</t>
  </si>
  <si>
    <t>Tennis Montréal Excellence</t>
  </si>
  <si>
    <t>198 / 106</t>
  </si>
  <si>
    <t>10 / 4</t>
  </si>
  <si>
    <t>Sienna Alicia Manashe</t>
  </si>
  <si>
    <t>Rideau Sports Centre</t>
  </si>
  <si>
    <t>235 / 142</t>
  </si>
  <si>
    <t>Brielle Amey</t>
  </si>
  <si>
    <t>City of Kitchener</t>
  </si>
  <si>
    <t>23 / 8</t>
  </si>
  <si>
    <t>Zimo Xiang</t>
  </si>
  <si>
    <t>Tennis Alberta</t>
  </si>
  <si>
    <t>Osten &amp; Victor Alberta Tennis Centre</t>
  </si>
  <si>
    <t>266 / 82</t>
  </si>
  <si>
    <t>52 / 9</t>
  </si>
  <si>
    <t>Elle Helen-Marie Tucci</t>
  </si>
  <si>
    <t>227 / 144</t>
  </si>
  <si>
    <t>33 / 19</t>
  </si>
  <si>
    <t>Gabby Chase</t>
  </si>
  <si>
    <t>98 / 91</t>
  </si>
  <si>
    <t>Sophia Kosenko-Melnyk</t>
  </si>
  <si>
    <t>262 / 211</t>
  </si>
  <si>
    <t>18 / 9</t>
  </si>
  <si>
    <t>Sophia Xie</t>
  </si>
  <si>
    <t>183 / 110</t>
  </si>
  <si>
    <t>Victoria Koniouchine</t>
  </si>
  <si>
    <t>244 / 136</t>
  </si>
  <si>
    <t>22 / 6</t>
  </si>
  <si>
    <t>Ruijing Chen</t>
  </si>
  <si>
    <t>North Vancouver Tennis Centre</t>
  </si>
  <si>
    <t>158 / 114</t>
  </si>
  <si>
    <t>40 / 19</t>
  </si>
  <si>
    <t>Isabella Wang</t>
  </si>
  <si>
    <t>187 / 151</t>
  </si>
  <si>
    <t>14 / 14</t>
  </si>
  <si>
    <t>Veronica Rabinovich</t>
  </si>
  <si>
    <t>152 / 133</t>
  </si>
  <si>
    <t>11 / 11</t>
  </si>
  <si>
    <t>Camille Michel</t>
  </si>
  <si>
    <t>Rouge et Or - Université Laval</t>
  </si>
  <si>
    <t>196 / 134</t>
  </si>
  <si>
    <t>5 / 3</t>
  </si>
  <si>
    <t>Karina Swaminath</t>
  </si>
  <si>
    <t>Premier Racquet Clubs – Mississauga</t>
  </si>
  <si>
    <t>206 / 112</t>
  </si>
  <si>
    <t>43 / 19</t>
  </si>
  <si>
    <t>Callie Raharinosy</t>
  </si>
  <si>
    <t>Richmondhill Golf &amp; Country Club</t>
  </si>
  <si>
    <t>157 / 86</t>
  </si>
  <si>
    <t>26 / 11</t>
  </si>
  <si>
    <t>Olivia Ma</t>
  </si>
  <si>
    <t>Kamloops Tennis Centre</t>
  </si>
  <si>
    <t>161 / 79</t>
  </si>
  <si>
    <t>40 / 17</t>
  </si>
  <si>
    <t>Leah Schwarz</t>
  </si>
  <si>
    <t>250 / 134</t>
  </si>
  <si>
    <t>22 / 17</t>
  </si>
  <si>
    <t>Elise Chen</t>
  </si>
  <si>
    <t>AA Autre club</t>
  </si>
  <si>
    <t>225 / 116</t>
  </si>
  <si>
    <t>44 / 14</t>
  </si>
  <si>
    <t>kendra zhang</t>
  </si>
  <si>
    <t>248 / 67</t>
  </si>
  <si>
    <t>39 / 5</t>
  </si>
  <si>
    <t>Paris Radovic</t>
  </si>
  <si>
    <t>Advantage Tennis International at Veneto</t>
  </si>
  <si>
    <t>188 / 102</t>
  </si>
  <si>
    <t>32 / 12</t>
  </si>
  <si>
    <t>Stephanie Grace Semenov</t>
  </si>
  <si>
    <t>295 / 221</t>
  </si>
  <si>
    <t>36 / 19</t>
  </si>
  <si>
    <t>Chloe Yuexin Hu</t>
  </si>
  <si>
    <t>40 / 12</t>
  </si>
  <si>
    <t>13 / 6</t>
  </si>
  <si>
    <t>Vida Gonzalez Campbell</t>
  </si>
  <si>
    <t>Tennis Nova Scotia</t>
  </si>
  <si>
    <t>Atlantic Tennis Centre</t>
  </si>
  <si>
    <t>203 / 166</t>
  </si>
  <si>
    <t>14 / 3</t>
  </si>
  <si>
    <t>Urvi Singh</t>
  </si>
  <si>
    <t>Guildwood Tennis Club</t>
  </si>
  <si>
    <t>160 / 97</t>
  </si>
  <si>
    <t>32 / 15</t>
  </si>
  <si>
    <t>Lynn Ke</t>
  </si>
  <si>
    <t>Tennis Ile- des- Soeurs</t>
  </si>
  <si>
    <t>206 / 131</t>
  </si>
  <si>
    <t>Mariya Gedz</t>
  </si>
  <si>
    <t>Tennis Manitoba</t>
  </si>
  <si>
    <t>Winnipeg Winter Club</t>
  </si>
  <si>
    <t>231 / 133</t>
  </si>
  <si>
    <t>Mina Woodruff</t>
  </si>
  <si>
    <t>184 / 148</t>
  </si>
  <si>
    <t>23 / 13</t>
  </si>
  <si>
    <t>Angelica Panzieri</t>
  </si>
  <si>
    <t>202 / 150</t>
  </si>
  <si>
    <t>45 / 23</t>
  </si>
  <si>
    <t>Amelia Mishelle Simutin</t>
  </si>
  <si>
    <t>North Toronto Tennis Club</t>
  </si>
  <si>
    <t>209 / 97</t>
  </si>
  <si>
    <t>37 / 22</t>
  </si>
  <si>
    <t>Jillian Anjie Ho</t>
  </si>
  <si>
    <t>Ontario Racquet Club</t>
  </si>
  <si>
    <t>172 / 108</t>
  </si>
  <si>
    <t>28 / 13</t>
  </si>
  <si>
    <t>Zoe Mao</t>
  </si>
  <si>
    <t>150 / 67</t>
  </si>
  <si>
    <t>67 / 13</t>
  </si>
  <si>
    <t>Charlotte MacDonald</t>
  </si>
  <si>
    <t>10XTO</t>
  </si>
  <si>
    <t>236 / 106</t>
  </si>
  <si>
    <t>44 / 22</t>
  </si>
  <si>
    <t>Clara Vicol</t>
  </si>
  <si>
    <t>248 / 154</t>
  </si>
  <si>
    <t>16 / 6</t>
  </si>
  <si>
    <t>Aahna Chaudhary</t>
  </si>
  <si>
    <t>Taylor Tennis</t>
  </si>
  <si>
    <t>50 / 30</t>
  </si>
  <si>
    <t>26 / 10</t>
  </si>
  <si>
    <t>Bishop Yonna Grossutti</t>
  </si>
  <si>
    <t>149 / 72</t>
  </si>
  <si>
    <t>39 / 14</t>
  </si>
  <si>
    <t>Seemontini Pal</t>
  </si>
  <si>
    <t>131 / 129</t>
  </si>
  <si>
    <t>20 / 19</t>
  </si>
  <si>
    <t>Maya Lazar</t>
  </si>
  <si>
    <t>222 / 228</t>
  </si>
  <si>
    <t>17 / 17</t>
  </si>
  <si>
    <t>Lauren van der Berg</t>
  </si>
  <si>
    <t>North Shore Winter Club</t>
  </si>
  <si>
    <t>188 / 118</t>
  </si>
  <si>
    <t>10 / 7</t>
  </si>
  <si>
    <t>Victoria Jia</t>
  </si>
  <si>
    <t>164 / 128</t>
  </si>
  <si>
    <t>22 / 20</t>
  </si>
  <si>
    <t>Natalina Zappia</t>
  </si>
  <si>
    <t>MB No Club</t>
  </si>
  <si>
    <t>115 / 121</t>
  </si>
  <si>
    <t>13 / 10</t>
  </si>
  <si>
    <t>Olivia Laberge</t>
  </si>
  <si>
    <t>195 / 115</t>
  </si>
  <si>
    <t>51 / 22</t>
  </si>
  <si>
    <t>Marguerite Cellard Foisy</t>
  </si>
  <si>
    <t>Club Avantage Multi-sports / Académie de tennis Hérisset Bordeleau</t>
  </si>
  <si>
    <t>121 / 88</t>
  </si>
  <si>
    <t>15 / 10</t>
  </si>
  <si>
    <t>Emma Brisson</t>
  </si>
  <si>
    <t>161 / 122</t>
  </si>
  <si>
    <t>Emma Ciobanu</t>
  </si>
  <si>
    <t>254 / 191</t>
  </si>
  <si>
    <t>12 / 9</t>
  </si>
  <si>
    <t>Ananya Chaturvedi</t>
  </si>
  <si>
    <t>159 / 80</t>
  </si>
  <si>
    <t>14 / 6</t>
  </si>
  <si>
    <t>Tabitha Olivia Morisette</t>
  </si>
  <si>
    <t>Tennis BC Hub @ Richmond</t>
  </si>
  <si>
    <t>175 / 125</t>
  </si>
  <si>
    <t>17 / 11</t>
  </si>
  <si>
    <t>mackenzie zeidel</t>
  </si>
  <si>
    <t>Toronto Cricket Skating &amp; Curling</t>
  </si>
  <si>
    <t>172 / 86</t>
  </si>
  <si>
    <t>25 / 13</t>
  </si>
  <si>
    <t>Muyang Mei</t>
  </si>
  <si>
    <t>Vanguard Tennis Academy</t>
  </si>
  <si>
    <t>222 / 136</t>
  </si>
  <si>
    <t>16 / 10</t>
  </si>
  <si>
    <t>Alexandra Adele Walker</t>
  </si>
  <si>
    <t>Global Fitness and Racquet Centre</t>
  </si>
  <si>
    <t>123 / 68</t>
  </si>
  <si>
    <t>35 / 22</t>
  </si>
  <si>
    <t>Nadine Belmabrouk</t>
  </si>
  <si>
    <t>178 / 87</t>
  </si>
  <si>
    <t>42 / 16</t>
  </si>
  <si>
    <t>Yoyo Siyi Li</t>
  </si>
  <si>
    <t>Lakeshore Tennis Club</t>
  </si>
  <si>
    <t>175 / 75</t>
  </si>
  <si>
    <t>57 / 12</t>
  </si>
  <si>
    <t>Maya Iacoban</t>
  </si>
  <si>
    <t>293 / 154</t>
  </si>
  <si>
    <t>Victoria Cui</t>
  </si>
  <si>
    <t>Mayfair East Racquet Club</t>
  </si>
  <si>
    <t>160 / 91</t>
  </si>
  <si>
    <t>32 / 18</t>
  </si>
  <si>
    <t>Vera Wing</t>
  </si>
  <si>
    <t>Aforza</t>
  </si>
  <si>
    <t>219 / 128</t>
  </si>
  <si>
    <t>40 / 21</t>
  </si>
  <si>
    <t>Joni Faye Colburne</t>
  </si>
  <si>
    <t>Stade IGA</t>
  </si>
  <si>
    <t>198 / 122</t>
  </si>
  <si>
    <t>4 / 1</t>
  </si>
  <si>
    <t>Ariel Desbiens</t>
  </si>
  <si>
    <t>SANI Sport</t>
  </si>
  <si>
    <t>238 / 146</t>
  </si>
  <si>
    <t>47 / 27</t>
  </si>
  <si>
    <t>Aleksandra Leslie Sopovski</t>
  </si>
  <si>
    <t>138 / 181</t>
  </si>
  <si>
    <t>17 / 21</t>
  </si>
  <si>
    <t>Emma Yiqing Cao</t>
  </si>
  <si>
    <t>Coquitlam Tennis Club</t>
  </si>
  <si>
    <t>208 / 141</t>
  </si>
  <si>
    <t>27 / 19</t>
  </si>
  <si>
    <t>Arianna Deb-Baruah</t>
  </si>
  <si>
    <t>105 / 122</t>
  </si>
  <si>
    <t>Amanda xu</t>
  </si>
  <si>
    <t>133 / 124</t>
  </si>
  <si>
    <t>13 / 12</t>
  </si>
  <si>
    <t>Charlize Yu Ching Wong</t>
  </si>
  <si>
    <t>165 / 150</t>
  </si>
  <si>
    <t>14 / 13</t>
  </si>
  <si>
    <t>Eva Khadka</t>
  </si>
  <si>
    <t>124 / 70</t>
  </si>
  <si>
    <t>20 / 15</t>
  </si>
  <si>
    <t>Christine Andréa Celestin</t>
  </si>
  <si>
    <t>Carrefour Multisports</t>
  </si>
  <si>
    <t>192 / 192</t>
  </si>
  <si>
    <t>16 / 17</t>
  </si>
  <si>
    <t>Flora Zhang</t>
  </si>
  <si>
    <t>137 / 89</t>
  </si>
  <si>
    <t>25 / 14</t>
  </si>
  <si>
    <t>Hailey MacDonald</t>
  </si>
  <si>
    <t>225 / 104</t>
  </si>
  <si>
    <t>23 / 9</t>
  </si>
  <si>
    <t>Sophie Rachel Murray</t>
  </si>
  <si>
    <t>194 / 128</t>
  </si>
  <si>
    <t>Molly Mencfeld</t>
  </si>
  <si>
    <t>Youngs Sportsplex</t>
  </si>
  <si>
    <t>87 / 53</t>
  </si>
  <si>
    <t>37 / 14</t>
  </si>
  <si>
    <t>Mia Zhou</t>
  </si>
  <si>
    <t>141 / 115</t>
  </si>
  <si>
    <t>40 / 27</t>
  </si>
  <si>
    <t>Marissa Bayentin</t>
  </si>
  <si>
    <t>173 / 158</t>
  </si>
  <si>
    <t>13 / 11</t>
  </si>
  <si>
    <t>Camille Desautels</t>
  </si>
  <si>
    <t>178 / 182</t>
  </si>
  <si>
    <t>32 / 21</t>
  </si>
  <si>
    <t>Mengtong Nie</t>
  </si>
  <si>
    <t>Jordana Mangos</t>
  </si>
  <si>
    <t>129 / 80</t>
  </si>
  <si>
    <t>11 / 9</t>
  </si>
  <si>
    <t>Helena Chialtas</t>
  </si>
  <si>
    <t>177 / 150</t>
  </si>
  <si>
    <t>8 / 12</t>
  </si>
  <si>
    <t>Masha Campagna</t>
  </si>
  <si>
    <t>182 / 145</t>
  </si>
  <si>
    <t>34 / 26</t>
  </si>
  <si>
    <t>Misaki Rukovanjski</t>
  </si>
  <si>
    <t>170 / 100</t>
  </si>
  <si>
    <t>26 / 20</t>
  </si>
  <si>
    <t>Valesca Calabrese</t>
  </si>
  <si>
    <t>Kingston Racquet Centre</t>
  </si>
  <si>
    <t>178 / 88</t>
  </si>
  <si>
    <t>29 / 12</t>
  </si>
  <si>
    <t>Angelina Alice Chacko</t>
  </si>
  <si>
    <t>Bramalea Tennis Club</t>
  </si>
  <si>
    <t>138 / 199</t>
  </si>
  <si>
    <t>11 / 17</t>
  </si>
  <si>
    <t>Janelle Mao</t>
  </si>
  <si>
    <t>London Hunt &amp; Country Club</t>
  </si>
  <si>
    <t>125 / 88</t>
  </si>
  <si>
    <t>20 / 20</t>
  </si>
  <si>
    <t>Ruxleigh Jahnne Bayasen</t>
  </si>
  <si>
    <t>184 / 132</t>
  </si>
  <si>
    <t>24 / 15</t>
  </si>
  <si>
    <t>Daisy Okechukwu</t>
  </si>
  <si>
    <t>Carleton Tennis Centre</t>
  </si>
  <si>
    <t>36 / 93</t>
  </si>
  <si>
    <t>Evangelina Romaniuk</t>
  </si>
  <si>
    <t>102 / 88</t>
  </si>
  <si>
    <t>Yolanda Pang</t>
  </si>
  <si>
    <t>Tennis Prince Edward Island</t>
  </si>
  <si>
    <t>Royalty Racquet Centre</t>
  </si>
  <si>
    <t>177 / 69</t>
  </si>
  <si>
    <t>17 / 6</t>
  </si>
  <si>
    <t>scarlett Ai</t>
  </si>
  <si>
    <t>Toronto Tennis Academy</t>
  </si>
  <si>
    <t>120 / 101</t>
  </si>
  <si>
    <t>23 / 16</t>
  </si>
  <si>
    <t>Xinyi Kwan</t>
  </si>
  <si>
    <t>Burlington Hall Sporting Club</t>
  </si>
  <si>
    <t>104 / 108</t>
  </si>
  <si>
    <t>YASMINE SOUISSI</t>
  </si>
  <si>
    <t>167 / 81</t>
  </si>
  <si>
    <t>24 / 13</t>
  </si>
  <si>
    <t>Adelina Tanashikova</t>
  </si>
  <si>
    <t>145 / 124</t>
  </si>
  <si>
    <t>28 / 7</t>
  </si>
  <si>
    <t>Mika Oguro</t>
  </si>
  <si>
    <t>Saville Community Sports Centre</t>
  </si>
  <si>
    <t>45 / 12</t>
  </si>
  <si>
    <t>21 / 5</t>
  </si>
  <si>
    <t>Makayla Kate Woodliffe</t>
  </si>
  <si>
    <t>Milton Tennis Club</t>
  </si>
  <si>
    <t>201 / 125</t>
  </si>
  <si>
    <t>SOPHIA JIAJIA DENG</t>
  </si>
  <si>
    <t>Peak Performance Tennis Academy</t>
  </si>
  <si>
    <t>136 / 48</t>
  </si>
  <si>
    <t>36 / 14</t>
  </si>
  <si>
    <t>Marilyn deBruin-Sawutz</t>
  </si>
  <si>
    <t>149 / 139</t>
  </si>
  <si>
    <t>28 / 20</t>
  </si>
  <si>
    <t>Fiona Huang</t>
  </si>
  <si>
    <t>142 / 81</t>
  </si>
  <si>
    <t>34 / 14</t>
  </si>
  <si>
    <t>WENYUE XIANG</t>
  </si>
  <si>
    <t>141 / 133</t>
  </si>
  <si>
    <t>26 / 22</t>
  </si>
  <si>
    <t>Juliana Valentina Calderon</t>
  </si>
  <si>
    <t>125 / 154</t>
  </si>
  <si>
    <t>12 / 13</t>
  </si>
  <si>
    <t>Jaia Tournadre</t>
  </si>
  <si>
    <t>151 / 143</t>
  </si>
  <si>
    <t>31 / 19</t>
  </si>
  <si>
    <t>Wan Yui Trinity Fung</t>
  </si>
  <si>
    <t>127 / 121</t>
  </si>
  <si>
    <t>12 / 16</t>
  </si>
  <si>
    <t>Emma Escobar</t>
  </si>
  <si>
    <t>163 / 196</t>
  </si>
  <si>
    <t>28 / 16</t>
  </si>
  <si>
    <t>Anna Klemmer</t>
  </si>
  <si>
    <t>132 / 120</t>
  </si>
  <si>
    <t>24 / 14</t>
  </si>
  <si>
    <t>Abbie Stastny</t>
  </si>
  <si>
    <t>66 / 95</t>
  </si>
  <si>
    <t>19 / 14</t>
  </si>
  <si>
    <t>Roseline Nana</t>
  </si>
  <si>
    <t>137 / 56</t>
  </si>
  <si>
    <t>50 / 17</t>
  </si>
  <si>
    <t>Wilma Wai Bo Yue</t>
  </si>
  <si>
    <t>149 / 58</t>
  </si>
  <si>
    <t>34 / 12</t>
  </si>
  <si>
    <t>Amaliia Bakumenko</t>
  </si>
  <si>
    <t>Tennis 13 / Académie Ménard et associé</t>
  </si>
  <si>
    <t>60 / 21</t>
  </si>
  <si>
    <t>0 / 1</t>
  </si>
  <si>
    <t>Anvitha Mahadevaswamy</t>
  </si>
  <si>
    <t>Tennis New Brunswick</t>
  </si>
  <si>
    <t>Abony Family Tennis Center</t>
  </si>
  <si>
    <t>140 / 100</t>
  </si>
  <si>
    <t>40 / 26</t>
  </si>
  <si>
    <t>Polina Babkina</t>
  </si>
  <si>
    <t>Brookside Court &amp; Wellness</t>
  </si>
  <si>
    <t>137 / 76</t>
  </si>
  <si>
    <t>21 / 12</t>
  </si>
  <si>
    <t>Yael Kupitman</t>
  </si>
  <si>
    <t>172 / 112</t>
  </si>
  <si>
    <t>29 / 16</t>
  </si>
  <si>
    <t>Aida Idrissi Serghini</t>
  </si>
  <si>
    <t>157 / 71</t>
  </si>
  <si>
    <t>31 / 18</t>
  </si>
  <si>
    <t>Sofia Piazza</t>
  </si>
  <si>
    <t>93 / 69</t>
  </si>
  <si>
    <t>24 / 16</t>
  </si>
  <si>
    <t>Aleksandra Alymov</t>
  </si>
  <si>
    <t>Rexall Centre</t>
  </si>
  <si>
    <t>138 / 83</t>
  </si>
  <si>
    <t>Hannah Yiwei Wang</t>
  </si>
  <si>
    <t>93 / 82</t>
  </si>
  <si>
    <t>Charlotte He</t>
  </si>
  <si>
    <t>ON National Capital No Club</t>
  </si>
  <si>
    <t>146 / 120</t>
  </si>
  <si>
    <t>Zoey Zhao</t>
  </si>
  <si>
    <t>128 / 147</t>
  </si>
  <si>
    <t>21 / 27</t>
  </si>
  <si>
    <t>Daria Glinna</t>
  </si>
  <si>
    <t>59 / 99</t>
  </si>
  <si>
    <t>4 / 8</t>
  </si>
  <si>
    <t>Katelyn Pasula</t>
  </si>
  <si>
    <t>BC NI No Club</t>
  </si>
  <si>
    <t>21 / 14</t>
  </si>
  <si>
    <t>8 / 5</t>
  </si>
  <si>
    <t>Etooluwa Michelle Bammeke</t>
  </si>
  <si>
    <t>Joshua Creek Golf &amp; Tennis</t>
  </si>
  <si>
    <t>167 / 103</t>
  </si>
  <si>
    <t>Taylor Nicole Marsella</t>
  </si>
  <si>
    <t>121 / 107</t>
  </si>
  <si>
    <t>6 / 10</t>
  </si>
  <si>
    <t>Charline Cloutier</t>
  </si>
  <si>
    <t>Académie l'Échange</t>
  </si>
  <si>
    <t>125 / 97</t>
  </si>
  <si>
    <t>18 / 13</t>
  </si>
  <si>
    <t>Haeun (Emily) Jo</t>
  </si>
  <si>
    <t>192 / 96</t>
  </si>
  <si>
    <t>43 / 17</t>
  </si>
  <si>
    <t>Isabella Diaz Marquez</t>
  </si>
  <si>
    <t>Thornhill Park Tennis Club</t>
  </si>
  <si>
    <t>97 / 72</t>
  </si>
  <si>
    <t>11 / 8</t>
  </si>
  <si>
    <t>xiayue(Cecelia) Bi</t>
  </si>
  <si>
    <t>158 / 90</t>
  </si>
  <si>
    <t>19 / 22</t>
  </si>
  <si>
    <t>Naomi Danyod</t>
  </si>
  <si>
    <t>105 / 59</t>
  </si>
  <si>
    <t>35 / 20</t>
  </si>
  <si>
    <t>Renata Reut</t>
  </si>
  <si>
    <t>196 / 108</t>
  </si>
  <si>
    <t>20 / 9</t>
  </si>
  <si>
    <t>Eva-Lynn Rice</t>
  </si>
  <si>
    <t>Tennis Newfoundland &amp; Labrador</t>
  </si>
  <si>
    <t>Greenbelt Tennis Club</t>
  </si>
  <si>
    <t>113 / 90</t>
  </si>
  <si>
    <t>19 / 10</t>
  </si>
  <si>
    <t>Yutong Li</t>
  </si>
  <si>
    <t>86 / 88</t>
  </si>
  <si>
    <t>14 / 18</t>
  </si>
  <si>
    <t>Camilla Kroupetski</t>
  </si>
  <si>
    <t>151 / 130</t>
  </si>
  <si>
    <t>22 / 10</t>
  </si>
  <si>
    <t>Elena Rusic</t>
  </si>
  <si>
    <t>182 / 74</t>
  </si>
  <si>
    <t>23 / 19</t>
  </si>
  <si>
    <t>Jagvi Sharma</t>
  </si>
  <si>
    <t>109 / 137</t>
  </si>
  <si>
    <t>Annika Richards</t>
  </si>
  <si>
    <t>81 / 108</t>
  </si>
  <si>
    <t>8 / 17</t>
  </si>
  <si>
    <t>Evelyn Zhang</t>
  </si>
  <si>
    <t>113 / 82</t>
  </si>
  <si>
    <t>8 / 13</t>
  </si>
  <si>
    <t>COSMINA PUSCALAU</t>
  </si>
  <si>
    <t>Greenhills Golf Club</t>
  </si>
  <si>
    <t>181 / 106</t>
  </si>
  <si>
    <t>Sydney Pan</t>
  </si>
  <si>
    <t>149 / 81</t>
  </si>
  <si>
    <t>1 / 1</t>
  </si>
  <si>
    <t>Audrina Faith Cheng</t>
  </si>
  <si>
    <t>76 / 106</t>
  </si>
  <si>
    <t>14 / 22</t>
  </si>
  <si>
    <t>Riona Berbatovci</t>
  </si>
  <si>
    <t>Waterloo Tennis Club</t>
  </si>
  <si>
    <t>144 / 103</t>
  </si>
  <si>
    <t>16 / 12</t>
  </si>
  <si>
    <t>Mia Wesolowski</t>
  </si>
  <si>
    <t>Parkside Tennis Club</t>
  </si>
  <si>
    <t>100 / 76</t>
  </si>
  <si>
    <t>4 / 3</t>
  </si>
  <si>
    <t>Anastasia Luchkin</t>
  </si>
  <si>
    <t>159 / 159</t>
  </si>
  <si>
    <t>8 / 8</t>
  </si>
  <si>
    <t>Alexane Deschênes</t>
  </si>
  <si>
    <t>154 / 136</t>
  </si>
  <si>
    <t>34 / 34</t>
  </si>
  <si>
    <t>Zahara Annabel Bromfield</t>
  </si>
  <si>
    <t>169 / 127</t>
  </si>
  <si>
    <t>9 / 9</t>
  </si>
  <si>
    <t>Auxane Mareschal-Hay</t>
  </si>
  <si>
    <t>Club de tennis intérieur Saguenay / École de tennis Delisle-Poirel</t>
  </si>
  <si>
    <t>93 / 107</t>
  </si>
  <si>
    <t>15 / 14</t>
  </si>
  <si>
    <t>Natalie Le'er Sang</t>
  </si>
  <si>
    <t>78 / 33</t>
  </si>
  <si>
    <t>21 / 19</t>
  </si>
  <si>
    <t>Toni Oladokun</t>
  </si>
  <si>
    <t>94 / 106</t>
  </si>
  <si>
    <t>19 / 23</t>
  </si>
  <si>
    <t>Kelly L Zhang</t>
  </si>
  <si>
    <t>NYTA Winter Tennis Club</t>
  </si>
  <si>
    <t>91 / 95</t>
  </si>
  <si>
    <t>24 / 17</t>
  </si>
  <si>
    <t>Avery Badyal</t>
  </si>
  <si>
    <t>145 / 94</t>
  </si>
  <si>
    <t>17 / 19</t>
  </si>
  <si>
    <t>Allyson Experience</t>
  </si>
  <si>
    <t>120 / 141</t>
  </si>
  <si>
    <t>jocelyn ai</t>
  </si>
  <si>
    <t>133 / 87</t>
  </si>
  <si>
    <t>39 / 24</t>
  </si>
  <si>
    <t>Xingyue Fang</t>
  </si>
  <si>
    <t>54 / 10</t>
  </si>
  <si>
    <t>12 / 2</t>
  </si>
  <si>
    <t>Karina Zhang</t>
  </si>
  <si>
    <t>130 / 79</t>
  </si>
  <si>
    <t>30 / 23</t>
  </si>
  <si>
    <t>Amelia Grace Balasuriya</t>
  </si>
  <si>
    <t>172 / 95</t>
  </si>
  <si>
    <t>49 / 25</t>
  </si>
  <si>
    <t>Julianne Blackburn</t>
  </si>
  <si>
    <t>83 / 75</t>
  </si>
  <si>
    <t>11 / 12</t>
  </si>
  <si>
    <t>Dewa Ayu Devin Sum</t>
  </si>
  <si>
    <t>93 / 86</t>
  </si>
  <si>
    <t>27 / 21</t>
  </si>
  <si>
    <t>Zahava Olszynko</t>
  </si>
  <si>
    <t>128 / 103</t>
  </si>
  <si>
    <t>36 / 23</t>
  </si>
  <si>
    <t>Mila Polisena</t>
  </si>
  <si>
    <t>59 / 143</t>
  </si>
  <si>
    <t>15 / 29</t>
  </si>
  <si>
    <t>Eleanor Victoria Paura</t>
  </si>
  <si>
    <t>85 / 111</t>
  </si>
  <si>
    <t>27 / 22</t>
  </si>
  <si>
    <t>Samaia Januszewski</t>
  </si>
  <si>
    <t>175 / 149</t>
  </si>
  <si>
    <t>7 / 6</t>
  </si>
  <si>
    <t>Emma Allen</t>
  </si>
  <si>
    <t>186 / 72</t>
  </si>
  <si>
    <t>38 / 20</t>
  </si>
  <si>
    <t>Charlotte Dawes</t>
  </si>
  <si>
    <t>112 / 113</t>
  </si>
  <si>
    <t>25 / 18</t>
  </si>
  <si>
    <t>Maia Basna</t>
  </si>
  <si>
    <t>54 / 40</t>
  </si>
  <si>
    <t>12 / 11</t>
  </si>
  <si>
    <t>Lisa Konevshchynska</t>
  </si>
  <si>
    <t>95 / 57</t>
  </si>
  <si>
    <t>15 / 15</t>
  </si>
  <si>
    <t>Ashley Autumn Schneider</t>
  </si>
  <si>
    <t>126 / 116</t>
  </si>
  <si>
    <t>18 / 14</t>
  </si>
  <si>
    <t>Elly Chao</t>
  </si>
  <si>
    <t>95 / 90</t>
  </si>
  <si>
    <t>5 / 12</t>
  </si>
  <si>
    <t>Emilie Chen</t>
  </si>
  <si>
    <t>89 / 125</t>
  </si>
  <si>
    <t>Thea Mihaela Nitica</t>
  </si>
  <si>
    <t>Rockcliffe Lawn Tennis Club</t>
  </si>
  <si>
    <t>87 / 60</t>
  </si>
  <si>
    <t>18 / 8</t>
  </si>
  <si>
    <t>Varvara Lutsyk</t>
  </si>
  <si>
    <t>137 / 73</t>
  </si>
  <si>
    <t>31 / 17</t>
  </si>
  <si>
    <t>Korey Peliowski</t>
  </si>
  <si>
    <t>93 / 145</t>
  </si>
  <si>
    <t>6 / 12</t>
  </si>
  <si>
    <t>Ciena Ahreum Yoo</t>
  </si>
  <si>
    <t>221 / 196</t>
  </si>
  <si>
    <t>4 / 4</t>
  </si>
  <si>
    <t>Iris Fu</t>
  </si>
  <si>
    <t>138 / 102</t>
  </si>
  <si>
    <t>23 / 12</t>
  </si>
  <si>
    <t>Adèle Juneau</t>
  </si>
  <si>
    <t>186 / 147</t>
  </si>
  <si>
    <t>18 / 22</t>
  </si>
  <si>
    <t>Alessia Lungu</t>
  </si>
  <si>
    <t>116 / 65</t>
  </si>
  <si>
    <t>Naella Sehic</t>
  </si>
  <si>
    <t>183 / 114</t>
  </si>
  <si>
    <t>48 / 16</t>
  </si>
  <si>
    <t>Catherine Racu</t>
  </si>
  <si>
    <t>78 / 25</t>
  </si>
  <si>
    <t>Kayla Xu</t>
  </si>
  <si>
    <t>Unionville Tennis Club</t>
  </si>
  <si>
    <t>80 / 67</t>
  </si>
  <si>
    <t>9 / 11</t>
  </si>
  <si>
    <t>Eva Rose Litalien</t>
  </si>
  <si>
    <t>121 / 193</t>
  </si>
  <si>
    <t>23 / 23</t>
  </si>
  <si>
    <t>Ruoran Hou</t>
  </si>
  <si>
    <t>136 / 100</t>
  </si>
  <si>
    <t>38 / 27</t>
  </si>
  <si>
    <t>Julia Désy</t>
  </si>
  <si>
    <t>141 / 85</t>
  </si>
  <si>
    <t>Ashlee Hanul Yoo</t>
  </si>
  <si>
    <t>109 / 96</t>
  </si>
  <si>
    <t>18 / 18</t>
  </si>
  <si>
    <t>Halo Boyu Li</t>
  </si>
  <si>
    <t>79 / 102</t>
  </si>
  <si>
    <t>29 / 27</t>
  </si>
  <si>
    <t>Qihan Qin</t>
  </si>
  <si>
    <t>72 / 105</t>
  </si>
  <si>
    <t>19 / 19</t>
  </si>
  <si>
    <t>Alissa Théano</t>
  </si>
  <si>
    <t>99 / 98</t>
  </si>
  <si>
    <t>28 / 28</t>
  </si>
  <si>
    <t>Klara Liu</t>
  </si>
  <si>
    <t>77 / 70</t>
  </si>
  <si>
    <t>7 / 2</t>
  </si>
  <si>
    <t>Kate Louise Violet Dee</t>
  </si>
  <si>
    <t>136 / 108</t>
  </si>
  <si>
    <t>14 / 16</t>
  </si>
  <si>
    <t>Cindy Liu</t>
  </si>
  <si>
    <t>104 / 93</t>
  </si>
  <si>
    <t>34 / 20</t>
  </si>
  <si>
    <t>Nanette Du</t>
  </si>
  <si>
    <t>94 / 56</t>
  </si>
  <si>
    <t>28 / 12</t>
  </si>
  <si>
    <t>Amaris Khotin-Fialkov</t>
  </si>
  <si>
    <t>180 / 113</t>
  </si>
  <si>
    <t>8 / 6</t>
  </si>
  <si>
    <t>Sofia Tabunshchyk</t>
  </si>
  <si>
    <t>ACE Tennis - Burlington</t>
  </si>
  <si>
    <t>163 / 164</t>
  </si>
  <si>
    <t>53 / 28</t>
  </si>
  <si>
    <t>Alecia Yahan Liu</t>
  </si>
  <si>
    <t>125 / 117</t>
  </si>
  <si>
    <t>23 / 22</t>
  </si>
  <si>
    <t>Charlotte Ng</t>
  </si>
  <si>
    <t>Blackmore Tennis Club</t>
  </si>
  <si>
    <t>124 / 94</t>
  </si>
  <si>
    <t>33 / 20</t>
  </si>
  <si>
    <t>Alexsandra Stanislavksy</t>
  </si>
  <si>
    <t>86 / 105</t>
  </si>
  <si>
    <t>23 / 24</t>
  </si>
  <si>
    <t>Emilia Klimek</t>
  </si>
  <si>
    <t>119 / 104</t>
  </si>
  <si>
    <t>Sophia Gettle</t>
  </si>
  <si>
    <t>92 / 117</t>
  </si>
  <si>
    <t>23 / 31</t>
  </si>
  <si>
    <t>Chloé Normandin</t>
  </si>
  <si>
    <t>146 / 121</t>
  </si>
  <si>
    <t>37 / 21</t>
  </si>
  <si>
    <t>JOANNA QIHENG FEI</t>
  </si>
  <si>
    <t>129 / 135</t>
  </si>
  <si>
    <t>Mulan Yang</t>
  </si>
  <si>
    <t>95 / 91</t>
  </si>
  <si>
    <t>Lanna Nikolic</t>
  </si>
  <si>
    <t>216 / 151</t>
  </si>
  <si>
    <t>Margarita Ter-Grigoryan</t>
  </si>
  <si>
    <t>67 / 60</t>
  </si>
  <si>
    <t>27 / 30</t>
  </si>
  <si>
    <t>Victoria Markova</t>
  </si>
  <si>
    <t>122 / 102</t>
  </si>
  <si>
    <t>37 / 25</t>
  </si>
  <si>
    <t>Adrienne Keaton Nelson</t>
  </si>
  <si>
    <t>114 / 119</t>
  </si>
  <si>
    <t>28 / 24</t>
  </si>
  <si>
    <t>Emma Reka Barta</t>
  </si>
  <si>
    <t>69 / 117</t>
  </si>
  <si>
    <t>4 / 11</t>
  </si>
  <si>
    <t>Ines Benharrat</t>
  </si>
  <si>
    <t>87 / 99</t>
  </si>
  <si>
    <t>8 / 10</t>
  </si>
  <si>
    <t>Lauren G Barnard</t>
  </si>
  <si>
    <t>Waegwoltic Tennis Club</t>
  </si>
  <si>
    <t>32 / 75</t>
  </si>
  <si>
    <t>17 / 25</t>
  </si>
  <si>
    <t>Aubrianna Ellen York</t>
  </si>
  <si>
    <t>113 / 101</t>
  </si>
  <si>
    <t>28 / 19</t>
  </si>
  <si>
    <t>Sophia Koziol</t>
  </si>
  <si>
    <t>62 / 78</t>
  </si>
  <si>
    <t>3 / 9</t>
  </si>
  <si>
    <t>Adriana Lanza</t>
  </si>
  <si>
    <t>Charlottetown Recreation Tennis Group</t>
  </si>
  <si>
    <t>89 / 88</t>
  </si>
  <si>
    <t>1 / 12</t>
  </si>
  <si>
    <t>Chloe Lou Friesen</t>
  </si>
  <si>
    <t>Vancouver Lawn Tennis and Badminton Club</t>
  </si>
  <si>
    <t>129 / 106</t>
  </si>
  <si>
    <t>Evelyn J.C. Liu</t>
  </si>
  <si>
    <t>152 / 119</t>
  </si>
  <si>
    <t>41 / 22</t>
  </si>
  <si>
    <t>Aahana Guha</t>
  </si>
  <si>
    <t>90 / 81</t>
  </si>
  <si>
    <t>34 / 23</t>
  </si>
  <si>
    <t>Laura Patsynka</t>
  </si>
  <si>
    <t>79 / 118</t>
  </si>
  <si>
    <t>10 / 19</t>
  </si>
  <si>
    <t>Viviane Jodoin</t>
  </si>
  <si>
    <t>135 / 211</t>
  </si>
  <si>
    <t>18 / 16</t>
  </si>
  <si>
    <t>Sophia Busa</t>
  </si>
  <si>
    <t>53 / 117</t>
  </si>
  <si>
    <t>7 / 18</t>
  </si>
  <si>
    <t>Florence Gosselin</t>
  </si>
  <si>
    <t>EB Tennis inc.</t>
  </si>
  <si>
    <t>99 / 124</t>
  </si>
  <si>
    <t>11 / 18</t>
  </si>
  <si>
    <t>Maja Banic</t>
  </si>
  <si>
    <t>88 / 177</t>
  </si>
  <si>
    <t>Akshara Bavanaka</t>
  </si>
  <si>
    <t>119 / 112</t>
  </si>
  <si>
    <t>18 / 21</t>
  </si>
  <si>
    <t>Amelia Karapalevski</t>
  </si>
  <si>
    <t>127 / 92</t>
  </si>
  <si>
    <t>33 / 21</t>
  </si>
  <si>
    <t>Coralie Bédard</t>
  </si>
  <si>
    <t>Complexe sportif Sani Marc</t>
  </si>
  <si>
    <t>93 / 104</t>
  </si>
  <si>
    <t>12 / 19</t>
  </si>
  <si>
    <t>Qiuyue Li</t>
  </si>
  <si>
    <t>24 / 2</t>
  </si>
  <si>
    <t>14 / 1</t>
  </si>
  <si>
    <t>Maëva Ménard</t>
  </si>
  <si>
    <t>240 / 254</t>
  </si>
  <si>
    <t>18 / 19</t>
  </si>
  <si>
    <t>Zoe Zorbas</t>
  </si>
  <si>
    <t>73 / 112</t>
  </si>
  <si>
    <t>3 / 11</t>
  </si>
  <si>
    <t>Emilie Joly</t>
  </si>
  <si>
    <t>156 / 68</t>
  </si>
  <si>
    <t>33 / 8</t>
  </si>
  <si>
    <t>Mia Nikolovska</t>
  </si>
  <si>
    <t>223 / 143</t>
  </si>
  <si>
    <t>33 / 22</t>
  </si>
  <si>
    <t>Lucille Sarazin</t>
  </si>
  <si>
    <t>128 / 183</t>
  </si>
  <si>
    <t>12 / 12</t>
  </si>
  <si>
    <t>Maia-Alexandra Popa</t>
  </si>
  <si>
    <t>108 / 98</t>
  </si>
  <si>
    <t>26 / 13</t>
  </si>
  <si>
    <t>Jaydalie Isaac</t>
  </si>
  <si>
    <t>111 / 124</t>
  </si>
  <si>
    <t>Jeanne Lampron</t>
  </si>
  <si>
    <t>63 / 70</t>
  </si>
  <si>
    <t>28 / 23</t>
  </si>
  <si>
    <t>Eliza Victoria Tchasti</t>
  </si>
  <si>
    <t>Newmarket Winter Tennis Club</t>
  </si>
  <si>
    <t>105 / 194</t>
  </si>
  <si>
    <t>Eloise Billings</t>
  </si>
  <si>
    <t>7 / 0</t>
  </si>
  <si>
    <t>Ela Zhou</t>
  </si>
  <si>
    <t>66 / 80</t>
  </si>
  <si>
    <t>30 / 17</t>
  </si>
  <si>
    <t>Ela Trkulja</t>
  </si>
  <si>
    <t>126 / 115</t>
  </si>
  <si>
    <t>16 / 14</t>
  </si>
  <si>
    <t>Olivia Escobar</t>
  </si>
  <si>
    <t>131 / 214</t>
  </si>
  <si>
    <t>Thanida (Belle) Shaipanich</t>
  </si>
  <si>
    <t>UBC Tennis Centre</t>
  </si>
  <si>
    <t>148 / 58</t>
  </si>
  <si>
    <t>31 / 21</t>
  </si>
  <si>
    <t>Zenaida May Kolesnikov</t>
  </si>
  <si>
    <t>Kew Gardens Tennis Club</t>
  </si>
  <si>
    <t>67 / 20</t>
  </si>
  <si>
    <t>13 / 3</t>
  </si>
  <si>
    <t>Edwina Ed Xue</t>
  </si>
  <si>
    <t>169 / 119</t>
  </si>
  <si>
    <t>29 / 23</t>
  </si>
  <si>
    <t>Estelle Kroupetski</t>
  </si>
  <si>
    <t>72 / 73</t>
  </si>
  <si>
    <t>28 / 11</t>
  </si>
  <si>
    <t>Gabriella Emilia de Belchior</t>
  </si>
  <si>
    <t>58 / 74</t>
  </si>
  <si>
    <t>16 / 23</t>
  </si>
  <si>
    <t>Maeve Shaffer</t>
  </si>
  <si>
    <t>47 / 108</t>
  </si>
  <si>
    <t>9 / 18</t>
  </si>
  <si>
    <t>Victoria Sao-Mai Colledge</t>
  </si>
  <si>
    <t>59 / 40</t>
  </si>
  <si>
    <t>Nyah Morgan</t>
  </si>
  <si>
    <t>132 / 74</t>
  </si>
  <si>
    <t>30 / 18</t>
  </si>
  <si>
    <t>Reina Yanpei Lu</t>
  </si>
  <si>
    <t>128 / 112</t>
  </si>
  <si>
    <t>22 / 14</t>
  </si>
  <si>
    <t>Melanie Moon</t>
  </si>
  <si>
    <t>119 / 117</t>
  </si>
  <si>
    <t>10 / 17</t>
  </si>
  <si>
    <t>Élianne Bouchard</t>
  </si>
  <si>
    <t>Tennis Interclub Piedmont</t>
  </si>
  <si>
    <t>114 / 130</t>
  </si>
  <si>
    <t>28 / 22</t>
  </si>
  <si>
    <t>Penelope Brandt</t>
  </si>
  <si>
    <t>123 / 121</t>
  </si>
  <si>
    <t>32 / 20</t>
  </si>
  <si>
    <t>Navya Chawla</t>
  </si>
  <si>
    <t>178 / 103</t>
  </si>
  <si>
    <t>ELLA ZHANG</t>
  </si>
  <si>
    <t>77 / 107</t>
  </si>
  <si>
    <t>Olivia Lu</t>
  </si>
  <si>
    <t>93 / 68</t>
  </si>
  <si>
    <t>26 / 16</t>
  </si>
  <si>
    <t>Lourdes Valentina Haun</t>
  </si>
  <si>
    <t>170 / 122</t>
  </si>
  <si>
    <t>21 / 16</t>
  </si>
  <si>
    <t>Layla Cottignies</t>
  </si>
  <si>
    <t>28 / 75</t>
  </si>
  <si>
    <t>8 / 23</t>
  </si>
  <si>
    <t>Natalia Sena</t>
  </si>
  <si>
    <t>46 / 43</t>
  </si>
  <si>
    <t>27 / 14</t>
  </si>
  <si>
    <t>Victoria Chow</t>
  </si>
  <si>
    <t>141 / 137</t>
  </si>
  <si>
    <t>15 / 23</t>
  </si>
  <si>
    <t>Michelle Zhang</t>
  </si>
  <si>
    <t>88 / 69</t>
  </si>
  <si>
    <t>26 / 28</t>
  </si>
  <si>
    <t>LENA SEVKOVIC</t>
  </si>
  <si>
    <t>84 / 111</t>
  </si>
  <si>
    <t>10 / 20</t>
  </si>
  <si>
    <t>Leila Paun</t>
  </si>
  <si>
    <t>2 / 5</t>
  </si>
  <si>
    <t>Joanna Pananchickal</t>
  </si>
  <si>
    <t>31 / 35</t>
  </si>
  <si>
    <t>13 / 7</t>
  </si>
  <si>
    <t>Meika Sebastian</t>
  </si>
  <si>
    <t>City of Kingston</t>
  </si>
  <si>
    <t>147 / 140</t>
  </si>
  <si>
    <t>0 / 4</t>
  </si>
  <si>
    <t>Nuanyi Li</t>
  </si>
  <si>
    <t>179 / 110</t>
  </si>
  <si>
    <t>28 / 27</t>
  </si>
  <si>
    <t>Emma Abdou</t>
  </si>
  <si>
    <t>98 / 110</t>
  </si>
  <si>
    <t>30 / 27</t>
  </si>
  <si>
    <t>Dina Yijia Zhang</t>
  </si>
  <si>
    <t>HEADSTART</t>
  </si>
  <si>
    <t>64 / 94</t>
  </si>
  <si>
    <t>8 / 15</t>
  </si>
  <si>
    <t>Alexandra Timofeyev</t>
  </si>
  <si>
    <t>41 / 46</t>
  </si>
  <si>
    <t>6 / 6</t>
  </si>
  <si>
    <t>Elena Vamoser</t>
  </si>
  <si>
    <t>74 / 54</t>
  </si>
  <si>
    <t>15 / 17</t>
  </si>
  <si>
    <t>Kaili Ear Gui</t>
  </si>
  <si>
    <t>84 / 63</t>
  </si>
  <si>
    <t>35 / 30</t>
  </si>
  <si>
    <t>Kayla Kwei</t>
  </si>
  <si>
    <t>Arbutus Club</t>
  </si>
  <si>
    <t>90 / 67</t>
  </si>
  <si>
    <t>6 / 7</t>
  </si>
  <si>
    <t>Tatiana Mia Voros</t>
  </si>
  <si>
    <t>GSM Tennis Club</t>
  </si>
  <si>
    <t>14 / 74</t>
  </si>
  <si>
    <t>1 / 13</t>
  </si>
  <si>
    <t>Arcee YiJie Chen</t>
  </si>
  <si>
    <t>BC VI No Club</t>
  </si>
  <si>
    <t>Fengfei ZHANG</t>
  </si>
  <si>
    <t>102 / 130</t>
  </si>
  <si>
    <t>36 / 31</t>
  </si>
  <si>
    <t>Cindy Zixuan Li</t>
  </si>
  <si>
    <t>69 / 68</t>
  </si>
  <si>
    <t>8 / 7</t>
  </si>
  <si>
    <t>Luisa Victoria Davis</t>
  </si>
  <si>
    <t>Mayfair West Fitness &amp; Racquet Club</t>
  </si>
  <si>
    <t>128 / 72</t>
  </si>
  <si>
    <t>Jasmine Faith Hui</t>
  </si>
  <si>
    <t>Hollyburn Country Club</t>
  </si>
  <si>
    <t>95 / 109</t>
  </si>
  <si>
    <t>3 / 17</t>
  </si>
  <si>
    <t>Chloe Fischer</t>
  </si>
  <si>
    <t>102 / 116</t>
  </si>
  <si>
    <t>6 / 21</t>
  </si>
  <si>
    <t>Madison Tam</t>
  </si>
  <si>
    <t>Sir Winston Churchill Tennis Club</t>
  </si>
  <si>
    <t>316 / 125</t>
  </si>
  <si>
    <t>Leyan Isabella Yik Sum Leung</t>
  </si>
  <si>
    <t>79 / 44</t>
  </si>
  <si>
    <t>Kendra-Arianna Carpean</t>
  </si>
  <si>
    <t>101 / 173</t>
  </si>
  <si>
    <t>3 / 7</t>
  </si>
  <si>
    <t>Emmanuella Ibrahim</t>
  </si>
  <si>
    <t>137 / 53</t>
  </si>
  <si>
    <t>39 / 16</t>
  </si>
  <si>
    <t>Lila Chang</t>
  </si>
  <si>
    <t>Toronto Lawn Tennis Club</t>
  </si>
  <si>
    <t>27 / 65</t>
  </si>
  <si>
    <t>6 / 16</t>
  </si>
  <si>
    <t>Anna Lucenti</t>
  </si>
  <si>
    <t>56 / 77</t>
  </si>
  <si>
    <t>23 / 14</t>
  </si>
  <si>
    <t>Yutong (Olivia) Ha</t>
  </si>
  <si>
    <t>Riddhi Jha</t>
  </si>
  <si>
    <t>89 / 152</t>
  </si>
  <si>
    <t>18 / 11</t>
  </si>
  <si>
    <t>Avea Ungureanu Pinto</t>
  </si>
  <si>
    <t>78 / 66</t>
  </si>
  <si>
    <t>23 / 17</t>
  </si>
  <si>
    <t>Sloane Zenith</t>
  </si>
  <si>
    <t>143 / 139</t>
  </si>
  <si>
    <t>Amy Jiao</t>
  </si>
  <si>
    <t>168 / 129</t>
  </si>
  <si>
    <t>49 / 27</t>
  </si>
  <si>
    <t>Evelyn Wang</t>
  </si>
  <si>
    <t>123 / 123</t>
  </si>
  <si>
    <t>27 / 24</t>
  </si>
  <si>
    <t>Emma Yin</t>
  </si>
  <si>
    <t>80 / 77</t>
  </si>
  <si>
    <t>34 / 22</t>
  </si>
  <si>
    <t>Saya Cerundolo</t>
  </si>
  <si>
    <t>45 / 100</t>
  </si>
  <si>
    <t>9 / 19</t>
  </si>
  <si>
    <t>Alice Yu-Qi Ren</t>
  </si>
  <si>
    <t>142 / 66</t>
  </si>
  <si>
    <t>39 / 17</t>
  </si>
  <si>
    <t>OLIVIA JUNHAN CAO</t>
  </si>
  <si>
    <t>100 / 47</t>
  </si>
  <si>
    <t>37 / 16</t>
  </si>
  <si>
    <t>Naomi Iamandi</t>
  </si>
  <si>
    <t>125 / 105</t>
  </si>
  <si>
    <t>16 / 24</t>
  </si>
  <si>
    <t>Vaeda Paige Ankersmit</t>
  </si>
  <si>
    <t>Grimsby Tennis Club</t>
  </si>
  <si>
    <t>42 / 75</t>
  </si>
  <si>
    <t>12 / 18</t>
  </si>
  <si>
    <t>Blaire Ming min kaminski</t>
  </si>
  <si>
    <t>60 / 64</t>
  </si>
  <si>
    <t>15 / 13</t>
  </si>
  <si>
    <t>Bianca Nestor</t>
  </si>
  <si>
    <t>96 / 100</t>
  </si>
  <si>
    <t>Sanisha Nandha</t>
  </si>
  <si>
    <t>84 / 54</t>
  </si>
  <si>
    <t>14 / 12</t>
  </si>
  <si>
    <t>Zoe Yeung</t>
  </si>
  <si>
    <t>87 / 97</t>
  </si>
  <si>
    <t>13 / 16</t>
  </si>
  <si>
    <t>Malia Lee Datta</t>
  </si>
  <si>
    <t>64 / 85</t>
  </si>
  <si>
    <t>13 / 18</t>
  </si>
  <si>
    <t>Eliana Cantin</t>
  </si>
  <si>
    <t>9 / 16</t>
  </si>
  <si>
    <t>Caroline ChuYun Yang</t>
  </si>
  <si>
    <t>159 / 106</t>
  </si>
  <si>
    <t>27 / 20</t>
  </si>
  <si>
    <t>Emilie Hurst</t>
  </si>
  <si>
    <t>Hamilton Tennis Club</t>
  </si>
  <si>
    <t>33 / 37</t>
  </si>
  <si>
    <t>3 / 4</t>
  </si>
  <si>
    <t>Sophie Lu</t>
  </si>
  <si>
    <t>107 / 103</t>
  </si>
  <si>
    <t>36 / 24</t>
  </si>
  <si>
    <t>Alexandra Dorobantu</t>
  </si>
  <si>
    <t>76 / 80</t>
  </si>
  <si>
    <t>14 / 17</t>
  </si>
  <si>
    <t>Chloe Elizabeth Kotorobai</t>
  </si>
  <si>
    <t>City of Stoney Creek</t>
  </si>
  <si>
    <t>36 / 56</t>
  </si>
  <si>
    <t>Alexia Djomo</t>
  </si>
  <si>
    <t>31 / 47</t>
  </si>
  <si>
    <t>24 / 28</t>
  </si>
  <si>
    <t>NELIA BERKOUD</t>
  </si>
  <si>
    <t>87 / 55</t>
  </si>
  <si>
    <t>31 / 27</t>
  </si>
  <si>
    <t>Grace Wang</t>
  </si>
  <si>
    <t>143 / 96</t>
  </si>
  <si>
    <t>42 / 23</t>
  </si>
  <si>
    <t>Evelyne Gagnon</t>
  </si>
  <si>
    <t>39 / 86</t>
  </si>
  <si>
    <t>2 / 9</t>
  </si>
  <si>
    <t>Sofia Chan</t>
  </si>
  <si>
    <t>100 / 56</t>
  </si>
  <si>
    <t>43 / 25</t>
  </si>
  <si>
    <t>Charlie Thomas-Simard</t>
  </si>
  <si>
    <t>65 / 56</t>
  </si>
  <si>
    <t>29 / 28</t>
  </si>
  <si>
    <t>Lilian Jordan Gadjanov</t>
  </si>
  <si>
    <t>Newmarket Community Tennis Club</t>
  </si>
  <si>
    <t>122 / 81</t>
  </si>
  <si>
    <t>2 / 6</t>
  </si>
  <si>
    <t>Marisol Hilal</t>
  </si>
  <si>
    <t>114 / 171</t>
  </si>
  <si>
    <t>17 / 26</t>
  </si>
  <si>
    <t>Mathilde Labeeuw</t>
  </si>
  <si>
    <t>91 / 101</t>
  </si>
  <si>
    <t>13 / 15</t>
  </si>
  <si>
    <t>Maliah Morgan</t>
  </si>
  <si>
    <t>111 / 77</t>
  </si>
  <si>
    <t>11 / 14</t>
  </si>
  <si>
    <t>Lina Bouziane</t>
  </si>
  <si>
    <t>35 / 38</t>
  </si>
  <si>
    <t>Yuehan DONG</t>
  </si>
  <si>
    <t>56 / 69</t>
  </si>
  <si>
    <t>8 / 18</t>
  </si>
  <si>
    <t>Emmanuelle Johnson</t>
  </si>
  <si>
    <t>101 / 68</t>
  </si>
  <si>
    <t>Alyanna Jane Principe</t>
  </si>
  <si>
    <t>156 / 81</t>
  </si>
  <si>
    <t>Julia Leon Rojas</t>
  </si>
  <si>
    <t>47 / 73</t>
  </si>
  <si>
    <t>5 / 16</t>
  </si>
  <si>
    <t>Sonya Notta</t>
  </si>
  <si>
    <t>51 / 25</t>
  </si>
  <si>
    <t>8 / 3</t>
  </si>
  <si>
    <t>Anahi Narang</t>
  </si>
  <si>
    <t>85 / 63</t>
  </si>
  <si>
    <t>7 / 8</t>
  </si>
  <si>
    <t>Laetitia Thuy Van Nguyen</t>
  </si>
  <si>
    <t>Tennis Outaouais Performance (TOP)</t>
  </si>
  <si>
    <t>118 / 98</t>
  </si>
  <si>
    <t>32 / 23</t>
  </si>
  <si>
    <t>Meeth Kaur Rai</t>
  </si>
  <si>
    <t>124 / 102</t>
  </si>
  <si>
    <t>14 / 25</t>
  </si>
  <si>
    <t>Melody Motamedi</t>
  </si>
  <si>
    <t>52 / 68</t>
  </si>
  <si>
    <t>Daniella Kulemin</t>
  </si>
  <si>
    <t>Concord Tennis Academy</t>
  </si>
  <si>
    <t>25 / 31</t>
  </si>
  <si>
    <t>Nelly Campagna</t>
  </si>
  <si>
    <t>89 / 78</t>
  </si>
  <si>
    <t>Sophia Na</t>
  </si>
  <si>
    <t>80 / 81</t>
  </si>
  <si>
    <t>Ira Karthi</t>
  </si>
  <si>
    <t>Sandy Beach Tennis Club</t>
  </si>
  <si>
    <t>22 / 52</t>
  </si>
  <si>
    <t>Chloe Dias</t>
  </si>
  <si>
    <t>Premier Racquet Club</t>
  </si>
  <si>
    <t>63 / 80</t>
  </si>
  <si>
    <t>Emma Sun</t>
  </si>
  <si>
    <t>123 / 135</t>
  </si>
  <si>
    <t>Veronica Mourlatov</t>
  </si>
  <si>
    <t>139 / 80</t>
  </si>
  <si>
    <t>42 / 17</t>
  </si>
  <si>
    <t>Abbey Crump</t>
  </si>
  <si>
    <t>120 / 26</t>
  </si>
  <si>
    <t>28 / 15</t>
  </si>
  <si>
    <t>Adele Beatrix Courtnage</t>
  </si>
  <si>
    <t>46 / 106</t>
  </si>
  <si>
    <t>4 / 10</t>
  </si>
  <si>
    <t>Mila Anna Kodjian</t>
  </si>
  <si>
    <t>Rosethorn Tennis Club</t>
  </si>
  <si>
    <t>66 / 48</t>
  </si>
  <si>
    <t>25 / 10</t>
  </si>
  <si>
    <t>Sarah Melki</t>
  </si>
  <si>
    <t>26 / 64</t>
  </si>
  <si>
    <t>5 / 9</t>
  </si>
  <si>
    <t>Maya Sophia Abdullah</t>
  </si>
  <si>
    <t>30 / 31</t>
  </si>
  <si>
    <t>Naima Majumdar-Moreau</t>
  </si>
  <si>
    <t>74 / 84</t>
  </si>
  <si>
    <t>30 / 29</t>
  </si>
  <si>
    <t>Elina Wang</t>
  </si>
  <si>
    <t>153 / 79</t>
  </si>
  <si>
    <t>Alexandra Choe</t>
  </si>
  <si>
    <t>135 / 86</t>
  </si>
  <si>
    <t>8 / 4</t>
  </si>
  <si>
    <t>Frédérique Voyer</t>
  </si>
  <si>
    <t>Association de tennis de Drummondville</t>
  </si>
  <si>
    <t>7 / 29</t>
  </si>
  <si>
    <t>1 / 9</t>
  </si>
  <si>
    <t>Anica Yachun Liu</t>
  </si>
  <si>
    <t>111 / 113</t>
  </si>
  <si>
    <t>30 / 35</t>
  </si>
  <si>
    <t>Margot de Candé</t>
  </si>
  <si>
    <t>52 / 58</t>
  </si>
  <si>
    <t>Annabel Quon</t>
  </si>
  <si>
    <t>Tennis Outaouais Performance (TOP) ON</t>
  </si>
  <si>
    <t>33 / 43</t>
  </si>
  <si>
    <t>4 / 6</t>
  </si>
  <si>
    <t>Juliana Sophie Ho</t>
  </si>
  <si>
    <t>73 / 70</t>
  </si>
  <si>
    <t>Izibeyle Bhopal</t>
  </si>
  <si>
    <t>Bear Mountain Tennis Centre</t>
  </si>
  <si>
    <t>39 / 25</t>
  </si>
  <si>
    <t>4 / 0</t>
  </si>
  <si>
    <t>Eva Larose</t>
  </si>
  <si>
    <t>95 / 67</t>
  </si>
  <si>
    <t>Iris Zhetong Hu</t>
  </si>
  <si>
    <t>79 / 96</t>
  </si>
  <si>
    <t>5 / 6</t>
  </si>
  <si>
    <t>Alisha Goel</t>
  </si>
  <si>
    <t>123 / 58</t>
  </si>
  <si>
    <t>36 / 20</t>
  </si>
  <si>
    <t>Astrid Andersen</t>
  </si>
  <si>
    <t>25 / 29</t>
  </si>
  <si>
    <t>Masa Cirovic</t>
  </si>
  <si>
    <t>60 / 211</t>
  </si>
  <si>
    <t>4 / 27</t>
  </si>
  <si>
    <t>Gabriella Lara Prince</t>
  </si>
  <si>
    <t>45 / 53</t>
  </si>
  <si>
    <t>Daryna Tsyfra</t>
  </si>
  <si>
    <t>11 / 47</t>
  </si>
  <si>
    <t>0 / 27</t>
  </si>
  <si>
    <t>Mya Major</t>
  </si>
  <si>
    <t>37 / 92</t>
  </si>
  <si>
    <t>4 / 7</t>
  </si>
  <si>
    <t>MISHIKA SURESH BALAJI</t>
  </si>
  <si>
    <t>87 / 82</t>
  </si>
  <si>
    <t>Bianca Bordogna</t>
  </si>
  <si>
    <t>53 / 51</t>
  </si>
  <si>
    <t>10 / 11</t>
  </si>
  <si>
    <t>Mariela Ibrahim</t>
  </si>
  <si>
    <t>58 / 44</t>
  </si>
  <si>
    <t>24 / 18</t>
  </si>
  <si>
    <t>Sunandita Pal</t>
  </si>
  <si>
    <t>110 / 123</t>
  </si>
  <si>
    <t>Rihanna Kulyk</t>
  </si>
  <si>
    <t>106 / 135</t>
  </si>
  <si>
    <t>13 / 21</t>
  </si>
  <si>
    <t>KENZA JERBI</t>
  </si>
  <si>
    <t>65 / 43</t>
  </si>
  <si>
    <t>7 / 11</t>
  </si>
  <si>
    <t>Ella Zhao</t>
  </si>
  <si>
    <t>89 / 32</t>
  </si>
  <si>
    <t>9 / 7</t>
  </si>
  <si>
    <t>Audrey Yiyi Xu</t>
  </si>
  <si>
    <t>60 / 79</t>
  </si>
  <si>
    <t>21 / 15</t>
  </si>
  <si>
    <t>Adrianna Gianvito</t>
  </si>
  <si>
    <t>75 / 70</t>
  </si>
  <si>
    <t>Aarna Kaushik</t>
  </si>
  <si>
    <t>37 / 55</t>
  </si>
  <si>
    <t>5 / 4</t>
  </si>
  <si>
    <t>Sonya Resnikova</t>
  </si>
  <si>
    <t>53 / 32</t>
  </si>
  <si>
    <t>21 / 18</t>
  </si>
  <si>
    <t>Tina liu</t>
  </si>
  <si>
    <t>32 / 19</t>
  </si>
  <si>
    <t>lucy chapman</t>
  </si>
  <si>
    <t>116 / 94</t>
  </si>
  <si>
    <t>Rosemarie Gagnon</t>
  </si>
  <si>
    <t>49 / 61</t>
  </si>
  <si>
    <t>11 / 16</t>
  </si>
  <si>
    <t>Tiffany Ren Jun Cao</t>
  </si>
  <si>
    <t>105 / 102</t>
  </si>
  <si>
    <t>Kélia Tremblay</t>
  </si>
  <si>
    <t>33 / 59</t>
  </si>
  <si>
    <t>1 / 5</t>
  </si>
  <si>
    <t>Katelyn Li</t>
  </si>
  <si>
    <t>61 / 70</t>
  </si>
  <si>
    <t>Sophia Pavlovska</t>
  </si>
  <si>
    <t>Dieppe</t>
  </si>
  <si>
    <t>63 / 111</t>
  </si>
  <si>
    <t>17 / 16</t>
  </si>
  <si>
    <t>Isidora Trkulja</t>
  </si>
  <si>
    <t>125 / 69</t>
  </si>
  <si>
    <t>Olivia Reyna Martinez</t>
  </si>
  <si>
    <t>55 / 96</t>
  </si>
  <si>
    <t>6 / 8</t>
  </si>
  <si>
    <t>Arya Kaur Dhillon</t>
  </si>
  <si>
    <t>85 / 88</t>
  </si>
  <si>
    <t>23 / 20</t>
  </si>
  <si>
    <t>Ema Zonjic</t>
  </si>
  <si>
    <t>100 / 80</t>
  </si>
  <si>
    <t>Britney Brace</t>
  </si>
  <si>
    <t>Liya Mbaye</t>
  </si>
  <si>
    <t>82 / 117</t>
  </si>
  <si>
    <t>Rachel Daniel</t>
  </si>
  <si>
    <t>39 / 61</t>
  </si>
  <si>
    <t>9 / 12</t>
  </si>
  <si>
    <t>Victoria Perez Vargas</t>
  </si>
  <si>
    <t>51 / 52</t>
  </si>
  <si>
    <t>26 / 15</t>
  </si>
  <si>
    <t>Livia Seguin</t>
  </si>
  <si>
    <t>40 / 92</t>
  </si>
  <si>
    <t>16 / 31</t>
  </si>
  <si>
    <t>Lyla Marie Millar</t>
  </si>
  <si>
    <t>Tran Tennis Academy</t>
  </si>
  <si>
    <t>12 / 20</t>
  </si>
  <si>
    <t>Mila Caporusso</t>
  </si>
  <si>
    <t>71 / 38</t>
  </si>
  <si>
    <t>10 / 10</t>
  </si>
  <si>
    <t>Coralie D'Amours</t>
  </si>
  <si>
    <t>19 / 37</t>
  </si>
  <si>
    <t>11 / 15</t>
  </si>
  <si>
    <t>Élisabeth Circé</t>
  </si>
  <si>
    <t>47 / 98</t>
  </si>
  <si>
    <t>13 / 22</t>
  </si>
  <si>
    <t>Maeva Cantin</t>
  </si>
  <si>
    <t>79 / 70</t>
  </si>
  <si>
    <t>26 / 17</t>
  </si>
  <si>
    <t>Olivia Zhang</t>
  </si>
  <si>
    <t>61 / 38</t>
  </si>
  <si>
    <t>30 / 15</t>
  </si>
  <si>
    <t>Hanna Julia Barta</t>
  </si>
  <si>
    <t>100 / 105</t>
  </si>
  <si>
    <t>Aliya Star Michel</t>
  </si>
  <si>
    <t>96 / 88</t>
  </si>
  <si>
    <t>2 / 2</t>
  </si>
  <si>
    <t>EMMA ANTONIA DOBREAN</t>
  </si>
  <si>
    <t>98 / 39</t>
  </si>
  <si>
    <t>2 / 3</t>
  </si>
  <si>
    <t>Milena Mavrin</t>
  </si>
  <si>
    <t>33 / 40</t>
  </si>
  <si>
    <t>25 / 20</t>
  </si>
  <si>
    <t>Erin Yida Li</t>
  </si>
  <si>
    <t>41 / 43</t>
  </si>
  <si>
    <t>Aarini Singh</t>
  </si>
  <si>
    <t>46 / 76</t>
  </si>
  <si>
    <t>6 / 11</t>
  </si>
  <si>
    <t>anne xie</t>
  </si>
  <si>
    <t>126 / 133</t>
  </si>
  <si>
    <t>29 / 25</t>
  </si>
  <si>
    <t>Isabella Quintero-Gonzalez</t>
  </si>
  <si>
    <t>65 / 63</t>
  </si>
  <si>
    <t>Noelle Coyne</t>
  </si>
  <si>
    <t>51 / 71</t>
  </si>
  <si>
    <t>23 / 32</t>
  </si>
  <si>
    <t>Mary Grace MacDonnell Doak</t>
  </si>
  <si>
    <t>St. James Tennis Club</t>
  </si>
  <si>
    <t>69 / 74</t>
  </si>
  <si>
    <t>Abrielle Cao</t>
  </si>
  <si>
    <t>69 / 165</t>
  </si>
  <si>
    <t>Franceska Summer Tabotabo</t>
  </si>
  <si>
    <t>106 / 103</t>
  </si>
  <si>
    <t>1 / 3</t>
  </si>
  <si>
    <t>Niyah Kanji</t>
  </si>
  <si>
    <t>53 / 60</t>
  </si>
  <si>
    <t>6 / 4</t>
  </si>
  <si>
    <t>Kayla Farahpour</t>
  </si>
  <si>
    <t>16 / 28</t>
  </si>
  <si>
    <t>Liseli Banage</t>
  </si>
  <si>
    <t>169 / 143</t>
  </si>
  <si>
    <t>4 / 9</t>
  </si>
  <si>
    <t>Hailey Zhou</t>
  </si>
  <si>
    <t>42 / 40</t>
  </si>
  <si>
    <t>32 / 28</t>
  </si>
  <si>
    <t>Sneha Sahiba Bhatti</t>
  </si>
  <si>
    <t>93 / 93</t>
  </si>
  <si>
    <t>15 / 19</t>
  </si>
  <si>
    <t>Nika Ghaderi</t>
  </si>
  <si>
    <t>64 / 109</t>
  </si>
  <si>
    <t>1 / 2</t>
  </si>
  <si>
    <t>Layla Jo Polgrabia</t>
  </si>
  <si>
    <t>21 / 63</t>
  </si>
  <si>
    <t>2 / 11</t>
  </si>
  <si>
    <t>Ariyana Usharah Mahanandan</t>
  </si>
  <si>
    <t>59 / 80</t>
  </si>
  <si>
    <t>Anne-Frédérique Jacob</t>
  </si>
  <si>
    <t>73 / 74</t>
  </si>
  <si>
    <t>5 / 11</t>
  </si>
  <si>
    <t>Isabelle Prusinkiewicz</t>
  </si>
  <si>
    <t>102 / 76</t>
  </si>
  <si>
    <t>30 / 20</t>
  </si>
  <si>
    <t>Jessica Rosemary Hill</t>
  </si>
  <si>
    <t>Vancouver International Tennis Academy</t>
  </si>
  <si>
    <t>93 / 72</t>
  </si>
  <si>
    <t>Alina Luo</t>
  </si>
  <si>
    <t>103 / 114</t>
  </si>
  <si>
    <t>Jasmine Louise Morneau</t>
  </si>
  <si>
    <t>16 / 45</t>
  </si>
  <si>
    <t>1 / 6</t>
  </si>
  <si>
    <t>Eva Paquette</t>
  </si>
  <si>
    <t>104 / 101</t>
  </si>
  <si>
    <t>Anastazia De Lain</t>
  </si>
  <si>
    <t>37 / 137</t>
  </si>
  <si>
    <t>4 / 23</t>
  </si>
  <si>
    <t>Kmar ELHOUIJ</t>
  </si>
  <si>
    <t>30 / 9</t>
  </si>
  <si>
    <t>19 / 6</t>
  </si>
  <si>
    <t>Cecilia Khalil</t>
  </si>
  <si>
    <t>28 / 18</t>
  </si>
  <si>
    <t>Yunia Bartha</t>
  </si>
  <si>
    <t>56 / 85</t>
  </si>
  <si>
    <t>12 / 21</t>
  </si>
  <si>
    <t>Aicha Ben Ali</t>
  </si>
  <si>
    <t>Alexandra Bayentin</t>
  </si>
  <si>
    <t>81 / 86</t>
  </si>
  <si>
    <t>Vrishti Gehlot</t>
  </si>
  <si>
    <t>79 / 78</t>
  </si>
  <si>
    <t>Leticia Fuentes Toledo</t>
  </si>
  <si>
    <t>6 / 13</t>
  </si>
  <si>
    <t>1 / 7</t>
  </si>
  <si>
    <t>Josephine Yitong Wu</t>
  </si>
  <si>
    <t>99 / 68</t>
  </si>
  <si>
    <t>22 / 12</t>
  </si>
  <si>
    <t>Abby Jean Tobac</t>
  </si>
  <si>
    <t>14 / 35</t>
  </si>
  <si>
    <t>Clara Fanoos</t>
  </si>
  <si>
    <t>Complexe de tennis de St-Augustin</t>
  </si>
  <si>
    <t>117 / 75</t>
  </si>
  <si>
    <t>29 / 19</t>
  </si>
  <si>
    <t>helena Khorsid-G-Mahdi</t>
  </si>
  <si>
    <t>Cottingham Tennis Club</t>
  </si>
  <si>
    <t>33 / 23</t>
  </si>
  <si>
    <t>19 / 16</t>
  </si>
  <si>
    <t>Katelyn Zhao</t>
  </si>
  <si>
    <t>52 / 49</t>
  </si>
  <si>
    <t>20 / 23</t>
  </si>
  <si>
    <t>Camie Wang</t>
  </si>
  <si>
    <t>61 / 54</t>
  </si>
  <si>
    <t>Kai Cetkovic</t>
  </si>
  <si>
    <t>Toronto Tennis City</t>
  </si>
  <si>
    <t>Daisy Tingru Wang</t>
  </si>
  <si>
    <t>8 / 29</t>
  </si>
  <si>
    <t>5 / 19</t>
  </si>
  <si>
    <t>Mia Louise LADEWIG</t>
  </si>
  <si>
    <t>142 / 82</t>
  </si>
  <si>
    <t>Ria Tamber</t>
  </si>
  <si>
    <t>39 / 56</t>
  </si>
  <si>
    <t>Keona Asogwa</t>
  </si>
  <si>
    <t>40 / 68</t>
  </si>
  <si>
    <t>4 / 12</t>
  </si>
  <si>
    <t>Maya Lupu</t>
  </si>
  <si>
    <t>104 / 58</t>
  </si>
  <si>
    <t>Kany Kaba</t>
  </si>
  <si>
    <t>83 / 55</t>
  </si>
  <si>
    <t>ZOE SOFIA CARDENAS PANIAGUA</t>
  </si>
  <si>
    <t>Tuxedo Tennis Club</t>
  </si>
  <si>
    <t>22 / 37</t>
  </si>
  <si>
    <t>Naïma Baron</t>
  </si>
  <si>
    <t>18 / 51</t>
  </si>
  <si>
    <t>1 / 8</t>
  </si>
  <si>
    <t>Rosie Mai Kowalewski</t>
  </si>
  <si>
    <t>113 / 79</t>
  </si>
  <si>
    <t>14 / 11</t>
  </si>
  <si>
    <t>Isabella Huang</t>
  </si>
  <si>
    <t>Burnaby Tennis Club</t>
  </si>
  <si>
    <t>112 / 84</t>
  </si>
  <si>
    <t>25 / 12</t>
  </si>
  <si>
    <t>Chloe Lu</t>
  </si>
  <si>
    <t>61 / 101</t>
  </si>
  <si>
    <t>21 / 23</t>
  </si>
  <si>
    <t>Sara Liao</t>
  </si>
  <si>
    <t>58 / 61</t>
  </si>
  <si>
    <t>31 / 28</t>
  </si>
  <si>
    <t>Zoë Crago</t>
  </si>
  <si>
    <t>101 / 92</t>
  </si>
  <si>
    <t>29 / 24</t>
  </si>
  <si>
    <t>Tehzeeb MRAR</t>
  </si>
  <si>
    <t>109 / 89</t>
  </si>
  <si>
    <t>19 / 15</t>
  </si>
  <si>
    <t>Krystal Xuan Sun</t>
  </si>
  <si>
    <t>21 / 53</t>
  </si>
  <si>
    <t>10 / 29</t>
  </si>
  <si>
    <t>Lily Gaumond-Boivin</t>
  </si>
  <si>
    <t>59 / 61</t>
  </si>
  <si>
    <t>Norah Diop</t>
  </si>
  <si>
    <t>38 / 47</t>
  </si>
  <si>
    <t>Alannah Nurai Darling</t>
  </si>
  <si>
    <t>59 / 96</t>
  </si>
  <si>
    <t>Tami Solola</t>
  </si>
  <si>
    <t>145 / 97</t>
  </si>
  <si>
    <t>Danica Stamatovic</t>
  </si>
  <si>
    <t>95 / 95</t>
  </si>
  <si>
    <t>Sasha Stack</t>
  </si>
  <si>
    <t>52 / 61</t>
  </si>
  <si>
    <t>Ela Velic</t>
  </si>
  <si>
    <t>Central Tennis Club</t>
  </si>
  <si>
    <t>53 / 49</t>
  </si>
  <si>
    <t>22 / 21</t>
  </si>
  <si>
    <t>Avelyn Deepak</t>
  </si>
  <si>
    <t>9 / 26</t>
  </si>
  <si>
    <t>Mila Rajicic</t>
  </si>
  <si>
    <t>22 / 32</t>
  </si>
  <si>
    <t>3 / 3</t>
  </si>
  <si>
    <t>Alaia Grace Serravalle</t>
  </si>
  <si>
    <t>ella kim brend</t>
  </si>
  <si>
    <t>87 / 37</t>
  </si>
  <si>
    <t>35 / 12</t>
  </si>
  <si>
    <t>Chanjoban Kaur Birdi</t>
  </si>
  <si>
    <t>Newton Tennis Club</t>
  </si>
  <si>
    <t>99 / 103</t>
  </si>
  <si>
    <t>Amelia Skenderi</t>
  </si>
  <si>
    <t>5 / 7</t>
  </si>
  <si>
    <t>Elliette Leah Tran</t>
  </si>
  <si>
    <t>59 / 59</t>
  </si>
  <si>
    <t>24 / 19</t>
  </si>
  <si>
    <t>Maddie Kershaw</t>
  </si>
  <si>
    <t>95 / 93</t>
  </si>
  <si>
    <t>Jana Karkoukli</t>
  </si>
  <si>
    <t>51 / 135</t>
  </si>
  <si>
    <t>2 / 18</t>
  </si>
  <si>
    <t>Jasnoor Kaur</t>
  </si>
  <si>
    <t>Ava Juliet Bose</t>
  </si>
  <si>
    <t>2 / 16</t>
  </si>
  <si>
    <t>Elisa Krumov</t>
  </si>
  <si>
    <t>43 / 46</t>
  </si>
  <si>
    <t>16 / 16</t>
  </si>
  <si>
    <t>Ema Phelan</t>
  </si>
  <si>
    <t>12 / 29</t>
  </si>
  <si>
    <t>3 / 5</t>
  </si>
  <si>
    <t>Gabriela Gardonyi</t>
  </si>
  <si>
    <t>Richmond Hill Country Club</t>
  </si>
  <si>
    <t>56 / 63</t>
  </si>
  <si>
    <t>Tia Patel</t>
  </si>
  <si>
    <t>27 / 49</t>
  </si>
  <si>
    <t>Sophia Shiqi Zeng</t>
  </si>
  <si>
    <t>103 / 84</t>
  </si>
  <si>
    <t>29 / 15</t>
  </si>
  <si>
    <t>Karen Asogwa</t>
  </si>
  <si>
    <t>18 / 48</t>
  </si>
  <si>
    <t>2 / 7</t>
  </si>
  <si>
    <t>Alia Idrissi Serghini</t>
  </si>
  <si>
    <t>84 / 55</t>
  </si>
  <si>
    <t>Mia Tran</t>
  </si>
  <si>
    <t>53 / 33</t>
  </si>
  <si>
    <t>14 / 8</t>
  </si>
  <si>
    <t>Philippa Berdette</t>
  </si>
  <si>
    <t>Edgemont Athletic</t>
  </si>
  <si>
    <t>70 / 85</t>
  </si>
  <si>
    <t>Thanushka Sadasivam</t>
  </si>
  <si>
    <t>25 / 34</t>
  </si>
  <si>
    <t>7 / 12</t>
  </si>
  <si>
    <t>Emma Xu</t>
  </si>
  <si>
    <t>27 / 71</t>
  </si>
  <si>
    <t>9 / 28</t>
  </si>
  <si>
    <t>Riya Snehal Thakkar</t>
  </si>
  <si>
    <t>2 / 15</t>
  </si>
  <si>
    <t>Ebun Fasanya</t>
  </si>
  <si>
    <t>45 / 37</t>
  </si>
  <si>
    <t>17 / 14</t>
  </si>
  <si>
    <t>Julia Elizabeth Wright</t>
  </si>
  <si>
    <t>37 / 51</t>
  </si>
  <si>
    <t>Kristina Khlyebnykova</t>
  </si>
  <si>
    <t>34 / 36</t>
  </si>
  <si>
    <t>13 / 9</t>
  </si>
  <si>
    <t>Jessica Li</t>
  </si>
  <si>
    <t>Markham Tennis Club</t>
  </si>
  <si>
    <t>27 / 31</t>
  </si>
  <si>
    <t>Ella Potechin</t>
  </si>
  <si>
    <t>19 / 20</t>
  </si>
  <si>
    <t>Trisha Singh</t>
  </si>
  <si>
    <t>39 / 50</t>
  </si>
  <si>
    <t>9 / 17</t>
  </si>
  <si>
    <t>Keira Braudo</t>
  </si>
  <si>
    <t>46 / 24</t>
  </si>
  <si>
    <t>23 / 6</t>
  </si>
  <si>
    <t>Emma Lajoie</t>
  </si>
  <si>
    <t>81 / 79</t>
  </si>
  <si>
    <t>Elina Farmanbar</t>
  </si>
  <si>
    <t>54 / 19</t>
  </si>
  <si>
    <t>Mégane Bernard</t>
  </si>
  <si>
    <t>82 / 105</t>
  </si>
  <si>
    <t>Simona Puskar</t>
  </si>
  <si>
    <t>7 / 16</t>
  </si>
  <si>
    <t>Ava Dancik</t>
  </si>
  <si>
    <t>Tennis de l'Île des Sœurs / École de tennis</t>
  </si>
  <si>
    <t>111 / 105</t>
  </si>
  <si>
    <t>15 / 8</t>
  </si>
  <si>
    <t>SOFIA LUCKY</t>
  </si>
  <si>
    <t>31 / 54</t>
  </si>
  <si>
    <t>Sophia Zhang</t>
  </si>
  <si>
    <t>33 / 89</t>
  </si>
  <si>
    <t>Eva Savineau</t>
  </si>
  <si>
    <t>Academie 360</t>
  </si>
  <si>
    <t>10 / 87</t>
  </si>
  <si>
    <t>MICHELLE OREANE OLA ECHAO</t>
  </si>
  <si>
    <t>12 / 43</t>
  </si>
  <si>
    <t>3 / 8</t>
  </si>
  <si>
    <t>Liana Arendain</t>
  </si>
  <si>
    <t>Ariella Wainer</t>
  </si>
  <si>
    <t>57 / 112</t>
  </si>
  <si>
    <t>Violetta Munoz</t>
  </si>
  <si>
    <t>93 / 83</t>
  </si>
  <si>
    <t>Lea Cote</t>
  </si>
  <si>
    <t>117 / 84</t>
  </si>
  <si>
    <t>Penelope Anne McMillan</t>
  </si>
  <si>
    <t>46 / 64</t>
  </si>
  <si>
    <t>Alexia Picciola</t>
  </si>
  <si>
    <t>79 / 83</t>
  </si>
  <si>
    <t>32 / 17</t>
  </si>
  <si>
    <t>Hazel Sharma</t>
  </si>
  <si>
    <t>85 / 107</t>
  </si>
  <si>
    <t>Victoria Chang</t>
  </si>
  <si>
    <t>90 / 27</t>
  </si>
  <si>
    <t>42 / 11</t>
  </si>
  <si>
    <t>ESTHER HAO</t>
  </si>
  <si>
    <t>131 / 84</t>
  </si>
  <si>
    <t>Anne M Barkovic</t>
  </si>
  <si>
    <t>Aldershot Tennis Club</t>
  </si>
  <si>
    <t>0 / 12</t>
  </si>
  <si>
    <t>0 / 2</t>
  </si>
  <si>
    <t>Harika Sree Ala</t>
  </si>
  <si>
    <t>0 / 7</t>
  </si>
  <si>
    <t>Victoria Ta</t>
  </si>
  <si>
    <t>Lambton Golf &amp; Country Club</t>
  </si>
  <si>
    <t>50 / 53</t>
  </si>
  <si>
    <t>Skyla Liu</t>
  </si>
  <si>
    <t>City of Vancouver</t>
  </si>
  <si>
    <t>Elle Apostol</t>
  </si>
  <si>
    <t>79 / 90</t>
  </si>
  <si>
    <t>Eva Brisson</t>
  </si>
  <si>
    <t>58 / 83</t>
  </si>
  <si>
    <t>12 / 15</t>
  </si>
  <si>
    <t>Navena Thelepan</t>
  </si>
  <si>
    <t>64 / 78</t>
  </si>
  <si>
    <t>20 / 41</t>
  </si>
  <si>
    <t>Lacey Isabella Ly</t>
  </si>
  <si>
    <t>100 / 33</t>
  </si>
  <si>
    <t>Candice YAO</t>
  </si>
  <si>
    <t>40 / 51</t>
  </si>
  <si>
    <t>Aryella Ainame Duran Khongwir</t>
  </si>
  <si>
    <t>Stefanovic Tennis Academy</t>
  </si>
  <si>
    <t>50 / 126</t>
  </si>
  <si>
    <t>Dora Zhang</t>
  </si>
  <si>
    <t>Jamie Cui</t>
  </si>
  <si>
    <t>46 / 123</t>
  </si>
  <si>
    <t>9 / 20</t>
  </si>
  <si>
    <t>Saroop Randhawa</t>
  </si>
  <si>
    <t>114 / 39</t>
  </si>
  <si>
    <t>Louanna Perron</t>
  </si>
  <si>
    <t>3 / 6</t>
  </si>
  <si>
    <t>Jacqueline Cuthill</t>
  </si>
  <si>
    <t>138 / 128</t>
  </si>
  <si>
    <t>Shutong Wang</t>
  </si>
  <si>
    <t>28 / 79</t>
  </si>
  <si>
    <t>MASAL ELA YAZICI</t>
  </si>
  <si>
    <t>27 / 15</t>
  </si>
  <si>
    <t>Alice Harvey</t>
  </si>
  <si>
    <t>Les Tennis de Rimouski (intérieur)</t>
  </si>
  <si>
    <t>Makayla Najjar</t>
  </si>
  <si>
    <t>60 / 30</t>
  </si>
  <si>
    <t>Lydia Huang</t>
  </si>
  <si>
    <t>65 / 40</t>
  </si>
  <si>
    <t>36 / 22</t>
  </si>
  <si>
    <t>Simran Punia</t>
  </si>
  <si>
    <t>ON West No Club</t>
  </si>
  <si>
    <t>1 / 14</t>
  </si>
  <si>
    <t>1 / 11</t>
  </si>
  <si>
    <t>Charlotte Gal</t>
  </si>
  <si>
    <t>6 / 18</t>
  </si>
  <si>
    <t>2 / 12</t>
  </si>
  <si>
    <t>Helena Shengyi Chen</t>
  </si>
  <si>
    <t>50 / 68</t>
  </si>
  <si>
    <t>13 / 17</t>
  </si>
  <si>
    <t>Léa Crépault</t>
  </si>
  <si>
    <t>44 / 111</t>
  </si>
  <si>
    <t>Hannah D'Souza</t>
  </si>
  <si>
    <t>66 / 93</t>
  </si>
  <si>
    <t>22 / 24</t>
  </si>
  <si>
    <t>Shrreya Elkturi</t>
  </si>
  <si>
    <t>Skylar Isabelle JOHNSTON</t>
  </si>
  <si>
    <t>Gordon Hughes Tennis Club</t>
  </si>
  <si>
    <t>46 / 47</t>
  </si>
  <si>
    <t>Daniella Lynne Lee</t>
  </si>
  <si>
    <t>65 / 62</t>
  </si>
  <si>
    <t>26 / 23</t>
  </si>
  <si>
    <t>Yasmine Maazouz</t>
  </si>
  <si>
    <t>69 / 46</t>
  </si>
  <si>
    <t>20 / 7</t>
  </si>
  <si>
    <t>Oxanna Maheu</t>
  </si>
  <si>
    <t>La Cité Sportive / Académie tennis Hugues Laverdière</t>
  </si>
  <si>
    <t>7 / 14</t>
  </si>
  <si>
    <t>Annabelle Chen</t>
  </si>
  <si>
    <t>84 / 68</t>
  </si>
  <si>
    <t>Payton Ella McCann</t>
  </si>
  <si>
    <t>Sudbury Indoor Tennis Centre</t>
  </si>
  <si>
    <t>4 / 16</t>
  </si>
  <si>
    <t>Kiyara Dinuli Hinidumarachchi</t>
  </si>
  <si>
    <t>Sarnia Tennis Club</t>
  </si>
  <si>
    <t>95 / 60</t>
  </si>
  <si>
    <t>10 / 14</t>
  </si>
  <si>
    <t>Saesha Ojha</t>
  </si>
  <si>
    <t>Victoria Isabella Tranquada</t>
  </si>
  <si>
    <t>Pickering Tennis Academy</t>
  </si>
  <si>
    <t>GURMEHR KAUR</t>
  </si>
  <si>
    <t>78 / 101</t>
  </si>
  <si>
    <t>Sofia Twynam</t>
  </si>
  <si>
    <t>69 / 58</t>
  </si>
  <si>
    <t>14 / 15</t>
  </si>
  <si>
    <t>Esabel Liu</t>
  </si>
  <si>
    <t>140 / 86</t>
  </si>
  <si>
    <t>Vida Jeftic</t>
  </si>
  <si>
    <t>27 / 11</t>
  </si>
  <si>
    <t>11 / 4</t>
  </si>
  <si>
    <t>Alexandra Strgacic</t>
  </si>
  <si>
    <t>96 / 69</t>
  </si>
  <si>
    <t>Freya Jiaxin He</t>
  </si>
  <si>
    <t>56 / 46</t>
  </si>
  <si>
    <t>17 / 7</t>
  </si>
  <si>
    <t>Victoria Trempe</t>
  </si>
  <si>
    <t>45 / 77</t>
  </si>
  <si>
    <t>2 / 4</t>
  </si>
  <si>
    <t>Mila Alexandra Voros</t>
  </si>
  <si>
    <t>58 / 78</t>
  </si>
  <si>
    <t>7 / 15</t>
  </si>
  <si>
    <t>Harsimran Kaur Sandhu</t>
  </si>
  <si>
    <t>46 / 58</t>
  </si>
  <si>
    <t>Kayla Chevez</t>
  </si>
  <si>
    <t>69 / 73</t>
  </si>
  <si>
    <t>Lana Kasumovic</t>
  </si>
  <si>
    <t>49 / 96</t>
  </si>
  <si>
    <t>23 / 21</t>
  </si>
  <si>
    <t>Minna TAN</t>
  </si>
  <si>
    <t>49 / 32</t>
  </si>
  <si>
    <t>18 / 7</t>
  </si>
  <si>
    <t>Ana Sofia Prieto Echandia</t>
  </si>
  <si>
    <t>Mariah Jorge-Eman</t>
  </si>
  <si>
    <t>48 / 54</t>
  </si>
  <si>
    <t>Eliza Willow Nguyen</t>
  </si>
  <si>
    <t>66 / 77</t>
  </si>
  <si>
    <t>10 / 13</t>
  </si>
  <si>
    <t>Mariia Stalynska</t>
  </si>
  <si>
    <t>11 / 44</t>
  </si>
  <si>
    <t>Rania Belhamra</t>
  </si>
  <si>
    <t>114 / 99</t>
  </si>
  <si>
    <t>Elizabeth Feng</t>
  </si>
  <si>
    <t>30 / 110</t>
  </si>
  <si>
    <t>Ella Meng</t>
  </si>
  <si>
    <t>Marilyn Redvers Tennis Club</t>
  </si>
  <si>
    <t>30 / 54</t>
  </si>
  <si>
    <t>Carys Miles</t>
  </si>
  <si>
    <t>98 / 102</t>
  </si>
  <si>
    <t>Emma Echeverri Vujicic</t>
  </si>
  <si>
    <t>63 / 67</t>
  </si>
  <si>
    <t>Gabrielle Siewe Meliatou</t>
  </si>
  <si>
    <t>24 / 54</t>
  </si>
  <si>
    <t>Tanishka Varishtha Tripathi</t>
  </si>
  <si>
    <t>101 / 39</t>
  </si>
  <si>
    <t>24 / 12</t>
  </si>
  <si>
    <t>Olivia Ormandy</t>
  </si>
  <si>
    <t>95 / 99</t>
  </si>
  <si>
    <t>23 / 25</t>
  </si>
  <si>
    <t>Sabrina Sajjad</t>
  </si>
  <si>
    <t>35 / 34</t>
  </si>
  <si>
    <t>Payton Isabelle JOHNSTON</t>
  </si>
  <si>
    <t>49 / 47</t>
  </si>
  <si>
    <t>Ophélia Carbonneau</t>
  </si>
  <si>
    <t>31 / 77</t>
  </si>
  <si>
    <t>Aglaée Chouinard</t>
  </si>
  <si>
    <t>34 / 70</t>
  </si>
  <si>
    <t>1 / 4</t>
  </si>
  <si>
    <t>Emily Zheng</t>
  </si>
  <si>
    <t>44 / 64</t>
  </si>
  <si>
    <t>Ruoyu Wang</t>
  </si>
  <si>
    <t>5 / 14</t>
  </si>
  <si>
    <t>Angelica Rose Spyrka</t>
  </si>
  <si>
    <t>32 / 42</t>
  </si>
  <si>
    <t>Vedanshi Kotecha</t>
  </si>
  <si>
    <t>26 / 48</t>
  </si>
  <si>
    <t>Alma Safinia</t>
  </si>
  <si>
    <t>13 / 13</t>
  </si>
  <si>
    <t>Alysha Alexis</t>
  </si>
  <si>
    <t>Académie Tennis Momentum (club extérieur)</t>
  </si>
  <si>
    <t>32 / 36</t>
  </si>
  <si>
    <t>Mae Taylor Loftsgard</t>
  </si>
  <si>
    <t>Boulevard Club</t>
  </si>
  <si>
    <t>17 / 69</t>
  </si>
  <si>
    <t>Amelia Rogette Hinnawi</t>
  </si>
  <si>
    <t>42 / 93</t>
  </si>
  <si>
    <t>Victoria Pellerin</t>
  </si>
  <si>
    <t>16 / 40</t>
  </si>
  <si>
    <t>Néva Robitaille</t>
  </si>
  <si>
    <t>250 / 204</t>
  </si>
  <si>
    <t>0 / 6</t>
  </si>
  <si>
    <t>Elisa Elvira Bisceglia</t>
  </si>
  <si>
    <t>Vaughan Tennis Club</t>
  </si>
  <si>
    <t>4 / 29</t>
  </si>
  <si>
    <t>2 / 13</t>
  </si>
  <si>
    <t>Sophie Pothel</t>
  </si>
  <si>
    <t>9 / 48</t>
  </si>
  <si>
    <t>Maria Elena Carpinisianu</t>
  </si>
  <si>
    <t>3 / 22</t>
  </si>
  <si>
    <t>0 / 9</t>
  </si>
  <si>
    <t>Jesi Myra Kumaran</t>
  </si>
  <si>
    <t>69 / 127</t>
  </si>
  <si>
    <t>15 / 30</t>
  </si>
  <si>
    <t>Nya Ruth-Ann Clarke-Spencer</t>
  </si>
  <si>
    <t>Brielle York</t>
  </si>
  <si>
    <t>68 / 76</t>
  </si>
  <si>
    <t>Otilia Bubelenyi</t>
  </si>
  <si>
    <t>Royal Glenora Club</t>
  </si>
  <si>
    <t>2 / 23</t>
  </si>
  <si>
    <t>2 / 10</t>
  </si>
  <si>
    <t>Charlianne Grace Kiss</t>
  </si>
  <si>
    <t>27 / 45</t>
  </si>
  <si>
    <t>9 / 15</t>
  </si>
  <si>
    <t>Yizhi Chen</t>
  </si>
  <si>
    <t>0 / 3</t>
  </si>
  <si>
    <t>Kynarra Tayt Burthwright</t>
  </si>
  <si>
    <t>66 / 61</t>
  </si>
  <si>
    <t>Nadia Stuparyk</t>
  </si>
  <si>
    <t>89 / 97</t>
  </si>
  <si>
    <t>24 / 21</t>
  </si>
  <si>
    <t>Isla J Green</t>
  </si>
  <si>
    <t>164 / 81</t>
  </si>
  <si>
    <t>37 / 18</t>
  </si>
  <si>
    <t>Riley Lynn Banath</t>
  </si>
  <si>
    <t>9 / 35</t>
  </si>
  <si>
    <t>5 / 20</t>
  </si>
  <si>
    <t>Amelia Jee</t>
  </si>
  <si>
    <t>53 / 72</t>
  </si>
  <si>
    <t>11 / 13</t>
  </si>
  <si>
    <t>Semara Anozie</t>
  </si>
  <si>
    <t>Alice Laganière</t>
  </si>
  <si>
    <t>13 / 26</t>
  </si>
  <si>
    <t>Ruichu Rachel Piao</t>
  </si>
  <si>
    <t>34 / 40</t>
  </si>
  <si>
    <t>Dorothy Ning</t>
  </si>
  <si>
    <t>80 / 69</t>
  </si>
  <si>
    <t>Adelaide Mossop</t>
  </si>
  <si>
    <t>66 / 98</t>
  </si>
  <si>
    <t>15 / 25</t>
  </si>
  <si>
    <t>Allison Penev</t>
  </si>
  <si>
    <t>65 / 87</t>
  </si>
  <si>
    <t>7 / 17</t>
  </si>
  <si>
    <t>Mavis Li</t>
  </si>
  <si>
    <t>22 / 42</t>
  </si>
  <si>
    <t>7 / 25</t>
  </si>
  <si>
    <t>Naya Roger Habis</t>
  </si>
  <si>
    <t>3 / 18</t>
  </si>
  <si>
    <t>Nora Firoozi</t>
  </si>
  <si>
    <t>81 / 84</t>
  </si>
  <si>
    <t>15 / 18</t>
  </si>
  <si>
    <t>Hunter Anne Wilkinson</t>
  </si>
  <si>
    <t>12 / 14</t>
  </si>
  <si>
    <t>Sahana Bath</t>
  </si>
  <si>
    <t>100 / 74</t>
  </si>
  <si>
    <t>45 / 21</t>
  </si>
  <si>
    <t>Naomi Lucy McCrank</t>
  </si>
  <si>
    <t>24 / 56</t>
  </si>
  <si>
    <t>8 / 11</t>
  </si>
  <si>
    <t>Jocelyn Anne Keyes</t>
  </si>
  <si>
    <t>Bayview Golf &amp; Country Club</t>
  </si>
  <si>
    <t>Grace Li</t>
  </si>
  <si>
    <t>71 / 94</t>
  </si>
  <si>
    <t>7 / 13</t>
  </si>
  <si>
    <t>Adriana Juliana Tambini</t>
  </si>
  <si>
    <t>Headwaters Racquet Club</t>
  </si>
  <si>
    <t>7 / 10</t>
  </si>
  <si>
    <t>Alexis Lyn</t>
  </si>
  <si>
    <t>57 / 47</t>
  </si>
  <si>
    <t>5 / 5</t>
  </si>
  <si>
    <t>Nisa Karim</t>
  </si>
  <si>
    <t>51 / 46</t>
  </si>
  <si>
    <t>17 / 20</t>
  </si>
  <si>
    <t>Burlington Tennis Club</t>
  </si>
  <si>
    <t>Eve Martel</t>
  </si>
  <si>
    <t>41 / 89</t>
  </si>
  <si>
    <t>12 / 17</t>
  </si>
  <si>
    <t>Renée Jugalbot</t>
  </si>
  <si>
    <t>Rosedale Tennis Club (Hamilton)</t>
  </si>
  <si>
    <t>34 / 51</t>
  </si>
  <si>
    <t>Diya Vasudeva</t>
  </si>
  <si>
    <t>34 / 65</t>
  </si>
  <si>
    <t>5 / 10</t>
  </si>
  <si>
    <t>Yuetwing, Doris Li</t>
  </si>
  <si>
    <t>14 / 2</t>
  </si>
  <si>
    <t>10 / 2</t>
  </si>
  <si>
    <t>Mikaëlla Jean-Bart</t>
  </si>
  <si>
    <t>32 / 43</t>
  </si>
  <si>
    <t>Stella McInnis</t>
  </si>
  <si>
    <t>Rothesay</t>
  </si>
  <si>
    <t>54 / 96</t>
  </si>
  <si>
    <t>Kate Penalba</t>
  </si>
  <si>
    <t>Henry Farm Tennis Club</t>
  </si>
  <si>
    <t>52 / 78</t>
  </si>
  <si>
    <t>Shanti Applyrs</t>
  </si>
  <si>
    <t>38 / 113</t>
  </si>
  <si>
    <t>Gabrielle Pompa</t>
  </si>
  <si>
    <t>111 / 51</t>
  </si>
  <si>
    <t>Nalayah Smith</t>
  </si>
  <si>
    <t>85 / 48</t>
  </si>
  <si>
    <t>Andrea Robles Sgambatti</t>
  </si>
  <si>
    <t>62 / 88</t>
  </si>
  <si>
    <t>13 / 20</t>
  </si>
  <si>
    <t>shirou Li</t>
  </si>
  <si>
    <t>Ella Nicolaeva</t>
  </si>
  <si>
    <t>129 / 57</t>
  </si>
  <si>
    <t>Rain Yu Chan</t>
  </si>
  <si>
    <t>95 / 108</t>
  </si>
  <si>
    <t>29 / 31</t>
  </si>
  <si>
    <t>Jaheema Jajah Joseph</t>
  </si>
  <si>
    <t>Tennis Montréal</t>
  </si>
  <si>
    <t>38 / 55</t>
  </si>
  <si>
    <t>6 / 15</t>
  </si>
  <si>
    <t>Aarushi Pal</t>
  </si>
  <si>
    <t>Hailey Jung</t>
  </si>
  <si>
    <t>Rebecca Sun</t>
  </si>
  <si>
    <t>Tennis for Life</t>
  </si>
  <si>
    <t>6 / 19</t>
  </si>
  <si>
    <t>Stefaniia Grimailo</t>
  </si>
  <si>
    <t>9 / 55</t>
  </si>
  <si>
    <t>2 / 25</t>
  </si>
  <si>
    <t>Gaëlle Jodoin</t>
  </si>
  <si>
    <t>14 / 73</t>
  </si>
  <si>
    <t>Chloe Park</t>
  </si>
  <si>
    <t>10 / 40</t>
  </si>
  <si>
    <t>Emma Lucenti</t>
  </si>
  <si>
    <t>28 / 54</t>
  </si>
  <si>
    <t>Elaina York</t>
  </si>
  <si>
    <t>61 / 88</t>
  </si>
  <si>
    <t>Susie Wen</t>
  </si>
  <si>
    <t>25 / 30</t>
  </si>
  <si>
    <t>Sofia Zhuchenko</t>
  </si>
  <si>
    <t>43 / 68</t>
  </si>
  <si>
    <t>Kira Wong</t>
  </si>
  <si>
    <t>48 / 82</t>
  </si>
  <si>
    <t>Xinyi Zhang</t>
  </si>
  <si>
    <t>26 / 26</t>
  </si>
  <si>
    <t>Milana Piazza</t>
  </si>
  <si>
    <t>56 / 36</t>
  </si>
  <si>
    <t>Vera Toptounov</t>
  </si>
  <si>
    <t>46 / 60</t>
  </si>
  <si>
    <t>Sarah Gottlieb</t>
  </si>
  <si>
    <t>46 / 46</t>
  </si>
  <si>
    <t>Theia Zhang</t>
  </si>
  <si>
    <t>Naomi Brown</t>
  </si>
  <si>
    <t>36 / 44</t>
  </si>
  <si>
    <t>Fiona Yuxin Zheng</t>
  </si>
  <si>
    <t>Stephanie Xinhuan Chen</t>
  </si>
  <si>
    <t>2 / 8</t>
  </si>
  <si>
    <t>Eva Eile</t>
  </si>
  <si>
    <t>Midtown Le Sporting Club Sanctuaire</t>
  </si>
  <si>
    <t>3 / 21</t>
  </si>
  <si>
    <t>0 / 10</t>
  </si>
  <si>
    <t>Spencer Xie</t>
  </si>
  <si>
    <t>19 / 52</t>
  </si>
  <si>
    <t>Audrey Ziqi Liu</t>
  </si>
  <si>
    <t>Sharika Thanuj</t>
  </si>
  <si>
    <t>Ancaster Tennis Club</t>
  </si>
  <si>
    <t>6 / 35</t>
  </si>
  <si>
    <t>3 / 13</t>
  </si>
  <si>
    <t>Sophia Hamel</t>
  </si>
  <si>
    <t>15 / 56</t>
  </si>
  <si>
    <t>Aila Olivia Brimacombe</t>
  </si>
  <si>
    <t>West Vancouver Tennis Club</t>
  </si>
  <si>
    <t>19 / 96</t>
  </si>
  <si>
    <t>9 / 31</t>
  </si>
  <si>
    <t>Melissa Yi Nuo Yang</t>
  </si>
  <si>
    <t>44 / 42</t>
  </si>
  <si>
    <t>24 / 11</t>
  </si>
  <si>
    <t>Anya De Lain</t>
  </si>
  <si>
    <t>16 / 74</t>
  </si>
  <si>
    <t>Sierra Leder</t>
  </si>
  <si>
    <t>30 / 32</t>
  </si>
  <si>
    <t>Blake Badger</t>
  </si>
  <si>
    <t>20 / 43</t>
  </si>
  <si>
    <t>Jaynaëlle Isaac</t>
  </si>
  <si>
    <t>49 / 75</t>
  </si>
  <si>
    <t>Olivia Xing</t>
  </si>
  <si>
    <t>57 / 60</t>
  </si>
  <si>
    <t>Zoé Pilon</t>
  </si>
  <si>
    <t>Athisayah Viji</t>
  </si>
  <si>
    <t>72 / 50</t>
  </si>
  <si>
    <t>Olivia Weiwei Kong</t>
  </si>
  <si>
    <t>23 / 68</t>
  </si>
  <si>
    <t>Amaranna Ugwunze</t>
  </si>
  <si>
    <t>49 / 43</t>
  </si>
  <si>
    <t>25 / 15</t>
  </si>
  <si>
    <t>Eliana Yiannacouras</t>
  </si>
  <si>
    <t>25 / 72</t>
  </si>
  <si>
    <t>6 / 9</t>
  </si>
  <si>
    <t>Sophia Saska</t>
  </si>
  <si>
    <t>Oak Bay Tennis Club</t>
  </si>
  <si>
    <t>22 / 26</t>
  </si>
  <si>
    <t>Madina Dankwa</t>
  </si>
  <si>
    <t>Scarlett Hannah Yip</t>
  </si>
  <si>
    <t>65 / 81</t>
  </si>
  <si>
    <t>Afsoune Wassel</t>
  </si>
  <si>
    <t>Isla Holton</t>
  </si>
  <si>
    <t>7 / 7</t>
  </si>
  <si>
    <t>Grace Wu</t>
  </si>
  <si>
    <t>63 / 33</t>
  </si>
  <si>
    <t>Mikayla Avani Mahanandan</t>
  </si>
  <si>
    <t>38 / 72</t>
  </si>
  <si>
    <t>14 / 23</t>
  </si>
  <si>
    <t>Isla Suokas</t>
  </si>
  <si>
    <t>60 / 40</t>
  </si>
  <si>
    <t>25 / 17</t>
  </si>
  <si>
    <t>Ava Allen</t>
  </si>
  <si>
    <t>20 / 31</t>
  </si>
  <si>
    <t>myra Malik</t>
  </si>
  <si>
    <t>30 / 36</t>
  </si>
  <si>
    <t>Bintou kaba</t>
  </si>
  <si>
    <t>15 / 35</t>
  </si>
  <si>
    <t>Xinyue Grace zhu</t>
  </si>
  <si>
    <t>111 / 73</t>
  </si>
  <si>
    <t>12 / 10</t>
  </si>
  <si>
    <t>Qianxun Cai</t>
  </si>
  <si>
    <t>Ella Iva Mavretic</t>
  </si>
  <si>
    <t>Pinafore Park</t>
  </si>
  <si>
    <t>88 / 110</t>
  </si>
  <si>
    <t>Chloe Zhiyan Bai</t>
  </si>
  <si>
    <t>79 / 93</t>
  </si>
  <si>
    <t>Alyxandra Grace Bellot Wildeman</t>
  </si>
  <si>
    <t>54 / 71</t>
  </si>
  <si>
    <t>Olivia Lee</t>
  </si>
  <si>
    <t>41 / 70</t>
  </si>
  <si>
    <t>11 / 22</t>
  </si>
  <si>
    <t>Bella Beiqi Zhao</t>
  </si>
  <si>
    <t>84 / 124</t>
  </si>
  <si>
    <t>Ellie Patricia Wilson</t>
  </si>
  <si>
    <t>23 / 41</t>
  </si>
  <si>
    <t>Ranica Li</t>
  </si>
  <si>
    <t>51 / 37</t>
  </si>
  <si>
    <t>Myra Chowdhary</t>
  </si>
  <si>
    <t>12 / 27</t>
  </si>
  <si>
    <t>Zaria Antonella Tambini</t>
  </si>
  <si>
    <t>10 / 16</t>
  </si>
  <si>
    <t>Abla SMILI</t>
  </si>
  <si>
    <t>Grace Raymond</t>
  </si>
  <si>
    <t>30 / 39</t>
  </si>
  <si>
    <t>Emma Plugaru</t>
  </si>
  <si>
    <t>72 / 59</t>
  </si>
  <si>
    <t>Mia Pan</t>
  </si>
  <si>
    <t>70 / 53</t>
  </si>
  <si>
    <t>26 / 19</t>
  </si>
  <si>
    <t>Sofia Bulynko</t>
  </si>
  <si>
    <t>National Tennis School</t>
  </si>
  <si>
    <t>27 / 27</t>
  </si>
  <si>
    <t>LEAH SHOJAIE</t>
  </si>
  <si>
    <t>Juliet Lauture</t>
  </si>
  <si>
    <t>59 / 48</t>
  </si>
  <si>
    <t>SOFIA ANAEL EL OUADI</t>
  </si>
  <si>
    <t>Calgary - Public</t>
  </si>
  <si>
    <t>40 / 97</t>
  </si>
  <si>
    <t>Zeyu (Anne) Xu</t>
  </si>
  <si>
    <t>26 / 83</t>
  </si>
  <si>
    <t>4 / 13</t>
  </si>
  <si>
    <t>Misia Ania Pietras</t>
  </si>
  <si>
    <t>32 / 25</t>
  </si>
  <si>
    <t>Stella Marion Thoms</t>
  </si>
  <si>
    <t>Riverdale Tennis Club</t>
  </si>
  <si>
    <t>25 / 19</t>
  </si>
  <si>
    <t>Maxine Andrea Subsuban</t>
  </si>
  <si>
    <t>42 / 61</t>
  </si>
  <si>
    <t>Sonia Leung</t>
  </si>
  <si>
    <t>33 / 33</t>
  </si>
  <si>
    <t>Arianna Marquez</t>
  </si>
  <si>
    <t>90 / 51</t>
  </si>
  <si>
    <t>Isabella Sofia Zrnic</t>
  </si>
  <si>
    <t>Lawrence Park Tennis Club</t>
  </si>
  <si>
    <t>27 / 39</t>
  </si>
  <si>
    <t>Amy Diana Janiszewski</t>
  </si>
  <si>
    <t>2 / 1</t>
  </si>
  <si>
    <t>Darcia Rabezandriny</t>
  </si>
  <si>
    <t>82 / 75</t>
  </si>
  <si>
    <t>Audrey JIA</t>
  </si>
  <si>
    <t>50 / 42</t>
  </si>
  <si>
    <t>33 / 15</t>
  </si>
  <si>
    <t>LeeZann Lai</t>
  </si>
  <si>
    <t>Don Mills Tennis Club</t>
  </si>
  <si>
    <t>Namasya Nakul</t>
  </si>
  <si>
    <t>63 / 54</t>
  </si>
  <si>
    <t>23 / 18</t>
  </si>
  <si>
    <t>Rachael Qing Xu</t>
  </si>
  <si>
    <t>20 / 35</t>
  </si>
  <si>
    <t>SHANAYA CHAUDHARY</t>
  </si>
  <si>
    <t>12 / 7</t>
  </si>
  <si>
    <t>Murphy Mofei Gao</t>
  </si>
  <si>
    <t>19 / 122</t>
  </si>
  <si>
    <t>4 / 26</t>
  </si>
  <si>
    <t>Emily Ke</t>
  </si>
  <si>
    <t>38 / 71</t>
  </si>
  <si>
    <t>Khaliya Karim</t>
  </si>
  <si>
    <t>18 / 72</t>
  </si>
  <si>
    <t>Abigail Curilscaia</t>
  </si>
  <si>
    <t>17 / 10</t>
  </si>
  <si>
    <t>Sofia Anne Brunetto</t>
  </si>
  <si>
    <t>Zekelman Tennis Centre</t>
  </si>
  <si>
    <t>Paulina Mangal</t>
  </si>
  <si>
    <t>75 / 104</t>
  </si>
  <si>
    <t>16 / 19</t>
  </si>
  <si>
    <t>Anna Guzina-McLeod</t>
  </si>
  <si>
    <t>10 / 15</t>
  </si>
  <si>
    <t>Ananya Rao</t>
  </si>
  <si>
    <t>29 / 64</t>
  </si>
  <si>
    <t>Isabelle Duvinage</t>
  </si>
  <si>
    <t>Scarlett Habeebkutty</t>
  </si>
  <si>
    <t>0 / 14</t>
  </si>
  <si>
    <t>Sofia Nasrallah</t>
  </si>
  <si>
    <t>52 / 103</t>
  </si>
  <si>
    <t>Isabella Henao</t>
  </si>
  <si>
    <t>6 / 27</t>
  </si>
  <si>
    <t>aashka vishal devaiya</t>
  </si>
  <si>
    <t>Selena Wazelle</t>
  </si>
  <si>
    <t>89 / 70</t>
  </si>
  <si>
    <t>Mia Skogen</t>
  </si>
  <si>
    <t>70 / 83</t>
  </si>
  <si>
    <t>Daniella Maria SAUCEDO</t>
  </si>
  <si>
    <t>City of Oakville</t>
  </si>
  <si>
    <t>72 / 65</t>
  </si>
  <si>
    <t>Emma Fedeyko</t>
  </si>
  <si>
    <t>19 / 33</t>
  </si>
  <si>
    <t>Lucy Claire Dee</t>
  </si>
  <si>
    <t>Hazelmere Golf and Tennis Club</t>
  </si>
  <si>
    <t>Chloe Esther Yeung</t>
  </si>
  <si>
    <t>45 / 61</t>
  </si>
  <si>
    <t>Kaylie Kam</t>
  </si>
  <si>
    <t>37 / 19</t>
  </si>
  <si>
    <t>Emily Lyn</t>
  </si>
  <si>
    <t>61 / 42</t>
  </si>
  <si>
    <t>Avril Kymber Lin</t>
  </si>
  <si>
    <t>40 / 61</t>
  </si>
  <si>
    <t>Kassidy, Chin Yau Lau</t>
  </si>
  <si>
    <t>32 / 22</t>
  </si>
  <si>
    <t>Mila Venturelli</t>
  </si>
  <si>
    <t>36 / 53</t>
  </si>
  <si>
    <t>8 / 16</t>
  </si>
  <si>
    <t>Alice Le</t>
  </si>
  <si>
    <t>7 / 3</t>
  </si>
  <si>
    <t>Gretchen Joan Stewart</t>
  </si>
  <si>
    <t>3 / 28</t>
  </si>
  <si>
    <t>Violet Ton-That</t>
  </si>
  <si>
    <t>29 / 34</t>
  </si>
  <si>
    <t>Clémence Martin</t>
  </si>
  <si>
    <t>Centre sportif Sport Scène / Élite Tennis Académie</t>
  </si>
  <si>
    <t>Emily Zhang</t>
  </si>
  <si>
    <t>10 / 38</t>
  </si>
  <si>
    <t>Amelia Alhakim</t>
  </si>
  <si>
    <t>19 / 12</t>
  </si>
  <si>
    <t>Zoey Folashakin</t>
  </si>
  <si>
    <t>15 / 53</t>
  </si>
  <si>
    <t>Madeline Liao</t>
  </si>
  <si>
    <t>Chelsea Yuxin Lan</t>
  </si>
  <si>
    <t>34 / 83</t>
  </si>
  <si>
    <t>2 / 20</t>
  </si>
  <si>
    <t>Kaliya Summer Miserre-Garrecht</t>
  </si>
  <si>
    <t>60 / 78</t>
  </si>
  <si>
    <t>Karolina Klepinin</t>
  </si>
  <si>
    <t>ON North Central No Club</t>
  </si>
  <si>
    <t>14 / 38</t>
  </si>
  <si>
    <t>Alyssa Grace Clouden</t>
  </si>
  <si>
    <t>21 / 28</t>
  </si>
  <si>
    <t>SHIRLEEN DU</t>
  </si>
  <si>
    <t>Noa Margaux Dery</t>
  </si>
  <si>
    <t>14 / 24</t>
  </si>
  <si>
    <t>Gabriella Geronimo</t>
  </si>
  <si>
    <t>Albion Gardens Tennis Club</t>
  </si>
  <si>
    <t>113 / 87</t>
  </si>
  <si>
    <t>5 / 1</t>
  </si>
  <si>
    <t>Tiana Amede-Bramwell</t>
  </si>
  <si>
    <t>Credit Valley Tennis Club</t>
  </si>
  <si>
    <t>8 / 32</t>
  </si>
  <si>
    <t>MARTINA VICTORIA Jakopin</t>
  </si>
  <si>
    <t>15 / 27</t>
  </si>
  <si>
    <t>Chenlin Wang</t>
  </si>
  <si>
    <t>Aura Tennis Academy</t>
  </si>
  <si>
    <t>87 / 72</t>
  </si>
  <si>
    <t>35 / 23</t>
  </si>
  <si>
    <t>Joey Wu</t>
  </si>
  <si>
    <t>City of Richmond</t>
  </si>
  <si>
    <t>73 / 50</t>
  </si>
  <si>
    <t>18 / 26</t>
  </si>
  <si>
    <t>cataleya florina zadarojnea</t>
  </si>
  <si>
    <t>12 / 25</t>
  </si>
  <si>
    <t>Eva Yanakieva</t>
  </si>
  <si>
    <t>84 / 91</t>
  </si>
  <si>
    <t>Serena Wepadam CHONGATERA</t>
  </si>
  <si>
    <t>8 / 14</t>
  </si>
  <si>
    <t>3 / 10</t>
  </si>
  <si>
    <t>Lydia Yinuo Xu</t>
  </si>
  <si>
    <t>72 / 82</t>
  </si>
  <si>
    <t>26 / 12</t>
  </si>
  <si>
    <t>Aditi Varma</t>
  </si>
  <si>
    <t>26 / 61</t>
  </si>
  <si>
    <t>Olivia Hesse</t>
  </si>
  <si>
    <t>26 / 40</t>
  </si>
  <si>
    <t>Maylis Ilmane</t>
  </si>
  <si>
    <t>25 / 35</t>
  </si>
  <si>
    <t>Larissa Bulynko</t>
  </si>
  <si>
    <t>21 / 34</t>
  </si>
  <si>
    <t>Cecily Rae Woodward</t>
  </si>
  <si>
    <t>Shaughnessy Golf and Country Club</t>
  </si>
  <si>
    <t>19 / 30</t>
  </si>
  <si>
    <t>Maranata Okubazgi</t>
  </si>
  <si>
    <t>55 / 41</t>
  </si>
  <si>
    <t>16 / 13</t>
  </si>
  <si>
    <t>Tory Goldstein</t>
  </si>
  <si>
    <t>Olivia An Yi Ta</t>
  </si>
  <si>
    <t>15 / 48</t>
  </si>
  <si>
    <t>Victoria Lapointe Diaz</t>
  </si>
  <si>
    <t>28 / 61</t>
  </si>
  <si>
    <t>Quinn Pfaff</t>
  </si>
  <si>
    <t>Maitland Country Club</t>
  </si>
  <si>
    <t>Evelyn May</t>
  </si>
  <si>
    <t>112 / 69</t>
  </si>
  <si>
    <t>Qingyi Yang</t>
  </si>
  <si>
    <t>Avonlyn Long</t>
  </si>
  <si>
    <t>Helena Nastic</t>
  </si>
  <si>
    <t>Royal City Tennis Club</t>
  </si>
  <si>
    <t>0 / 5</t>
  </si>
  <si>
    <t>ONYEKACHUKWU MAGDALENE OGBATUE</t>
  </si>
  <si>
    <t>Matchpoint Tennis</t>
  </si>
  <si>
    <t>11 / 7</t>
  </si>
  <si>
    <t>Mathilda Adaline Manning</t>
  </si>
  <si>
    <t>Niagara Academy of Tennis</t>
  </si>
  <si>
    <t>Emilia Sofia Urkedal</t>
  </si>
  <si>
    <t>17 / 52</t>
  </si>
  <si>
    <t>Ellieann Jean Baker</t>
  </si>
  <si>
    <t>45 / 64</t>
  </si>
  <si>
    <t>Victoria maya Carinci</t>
  </si>
  <si>
    <t>8 / 30</t>
  </si>
  <si>
    <t>LUXI YANG</t>
  </si>
  <si>
    <t>62 / 16</t>
  </si>
  <si>
    <t>25 / 6</t>
  </si>
  <si>
    <t>Doreen Bowen Mao</t>
  </si>
  <si>
    <t>33 / 47</t>
  </si>
  <si>
    <t>Savannah Billings</t>
  </si>
  <si>
    <t>Mia Gidaro</t>
  </si>
  <si>
    <t>Baby Point Tennis Club</t>
  </si>
  <si>
    <t>24 / 37</t>
  </si>
  <si>
    <t>Clarice de Azevedo Guedes</t>
  </si>
  <si>
    <t>26 / 38</t>
  </si>
  <si>
    <t>Abigail Csima</t>
  </si>
  <si>
    <t>12 / 48</t>
  </si>
  <si>
    <t>3 / 14</t>
  </si>
  <si>
    <t>Paula Monica Anca</t>
  </si>
  <si>
    <t>82 / 141</t>
  </si>
  <si>
    <t>Aditri Mundhra</t>
  </si>
  <si>
    <t>18 / 29</t>
  </si>
  <si>
    <t>Sarah Huang</t>
  </si>
  <si>
    <t>37 / 74</t>
  </si>
  <si>
    <t>Yue Zhang</t>
  </si>
  <si>
    <t>zhiyi li</t>
  </si>
  <si>
    <t>45 / 40</t>
  </si>
  <si>
    <t>9 / 10</t>
  </si>
  <si>
    <t>Eleena Silcott</t>
  </si>
  <si>
    <t>Ava Amiripour</t>
  </si>
  <si>
    <t>Emma Victoria Chan</t>
  </si>
  <si>
    <t>40 / 24</t>
  </si>
  <si>
    <t>Cara Tereza Nyakahuma</t>
  </si>
  <si>
    <t>Intercounty Tennis Association</t>
  </si>
  <si>
    <t>90 / 53</t>
  </si>
  <si>
    <t>7 / 4</t>
  </si>
  <si>
    <t>Aaisha Rathod</t>
  </si>
  <si>
    <t>4 / 72</t>
  </si>
  <si>
    <t>Chen Xi Zhou Kong</t>
  </si>
  <si>
    <t>57 / 63</t>
  </si>
  <si>
    <t>40 / 36</t>
  </si>
  <si>
    <t>Lolia Abdrabou</t>
  </si>
  <si>
    <t>Tate Belinda Rutledge</t>
  </si>
  <si>
    <t>Mia Youssef</t>
  </si>
  <si>
    <t>Grace SHI</t>
  </si>
  <si>
    <t>16 / 32</t>
  </si>
  <si>
    <t>9 / 13</t>
  </si>
  <si>
    <t>Sephora Demosthene</t>
  </si>
  <si>
    <t>Myra Shukla</t>
  </si>
  <si>
    <t>Veneto Tennis Club</t>
  </si>
  <si>
    <t>34 / 49</t>
  </si>
  <si>
    <t>Zean Whyte Omayan Gerongco</t>
  </si>
  <si>
    <t>Fountainhead Tennis Club</t>
  </si>
  <si>
    <t>95 / 72</t>
  </si>
  <si>
    <t>Lydia Squires-Sturge</t>
  </si>
  <si>
    <t>Mount Pearl Tennis Club</t>
  </si>
  <si>
    <t>Lilya Youssef</t>
  </si>
  <si>
    <t>Stefaniia Petrova</t>
  </si>
  <si>
    <t>177 / 124</t>
  </si>
  <si>
    <t>Mataya Victoria Jan</t>
  </si>
  <si>
    <t>Tennis Centre West Ottawa</t>
  </si>
  <si>
    <t>0 / 13</t>
  </si>
  <si>
    <t>0 / 8</t>
  </si>
  <si>
    <t>Emilia Ho</t>
  </si>
  <si>
    <t>70 / 65</t>
  </si>
  <si>
    <t>Amaya Azim</t>
  </si>
  <si>
    <t>Alexis Sokol</t>
  </si>
  <si>
    <t>Kaitlynn Xie</t>
  </si>
  <si>
    <t>19 / 38</t>
  </si>
  <si>
    <t>Talie Lyla Farb</t>
  </si>
  <si>
    <t>Josefa Orellana</t>
  </si>
  <si>
    <t>Hui-Xin Chen</t>
  </si>
  <si>
    <t>37 / 71</t>
  </si>
  <si>
    <t>Mioara Oulima Bouyela</t>
  </si>
  <si>
    <t>33 / 48</t>
  </si>
  <si>
    <t>Melissa Elena Rusu</t>
  </si>
  <si>
    <t>Carrefour Multisports - Haute Performance</t>
  </si>
  <si>
    <t>4 / 15</t>
  </si>
  <si>
    <t>Siena Yang-frome</t>
  </si>
  <si>
    <t>48 / 35</t>
  </si>
  <si>
    <t>10 / 12</t>
  </si>
  <si>
    <t>Daisy Brown</t>
  </si>
  <si>
    <t>Oak Bay Recreation Centre</t>
  </si>
  <si>
    <t>34 / 28</t>
  </si>
  <si>
    <t>Lily Chen</t>
  </si>
  <si>
    <t>41 / 62</t>
  </si>
  <si>
    <t>14 / 19</t>
  </si>
  <si>
    <t>Brielle Ramirez Balos</t>
  </si>
  <si>
    <t>37 / 28</t>
  </si>
  <si>
    <t>15 / 9</t>
  </si>
  <si>
    <t>Sareen Kaur Hehar</t>
  </si>
  <si>
    <t>75 / 122</t>
  </si>
  <si>
    <t>Mattea Policaro</t>
  </si>
  <si>
    <t>Diya Anand</t>
  </si>
  <si>
    <t>Robyn Abigail Allen</t>
  </si>
  <si>
    <t>Alexandria Gianvito</t>
  </si>
  <si>
    <t>13 / 37</t>
  </si>
  <si>
    <t>Angelia Huang</t>
  </si>
  <si>
    <t>10 / 45</t>
  </si>
  <si>
    <t>Isabella Rose Tasic</t>
  </si>
  <si>
    <t>29 / 57</t>
  </si>
  <si>
    <t>Keying(Selina) Gao</t>
  </si>
  <si>
    <t>Jemima Edwards</t>
  </si>
  <si>
    <t>39 / 38</t>
  </si>
  <si>
    <t>3 / 1</t>
  </si>
  <si>
    <t>Audrey Humeniuk</t>
  </si>
  <si>
    <t>Camélia Duong</t>
  </si>
  <si>
    <t>9 / 49</t>
  </si>
  <si>
    <t>Meredith Lynch</t>
  </si>
  <si>
    <t>Deborah Zhao</t>
  </si>
  <si>
    <t>65 / 71</t>
  </si>
  <si>
    <t>Aayushi Gautam</t>
  </si>
  <si>
    <t>90 / 62</t>
  </si>
  <si>
    <t>16 / 8</t>
  </si>
  <si>
    <t>kate zixi ye</t>
  </si>
  <si>
    <t>Vina BLANCHARD</t>
  </si>
  <si>
    <t>Hannah Ines Fischer-Kandelas</t>
  </si>
  <si>
    <t>Wychwood Tennis Club</t>
  </si>
  <si>
    <t>Hayley Bryce</t>
  </si>
  <si>
    <t>34 / 42</t>
  </si>
  <si>
    <t>Candela Suarez-llanos Alfaro</t>
  </si>
  <si>
    <t>Chloe Huang</t>
  </si>
  <si>
    <t>20 / 34</t>
  </si>
  <si>
    <t>Alice Zhang</t>
  </si>
  <si>
    <t>Clara Surprenant</t>
  </si>
  <si>
    <t>40 / 45</t>
  </si>
  <si>
    <t>Minnie Jinwen Xu</t>
  </si>
  <si>
    <t>67 / 61</t>
  </si>
  <si>
    <t>Nada Benlabiod</t>
  </si>
  <si>
    <t>Anne Cherednychenko</t>
  </si>
  <si>
    <t>15 / 11</t>
  </si>
  <si>
    <t>Abigail Jianing Zhou</t>
  </si>
  <si>
    <t>63 / 89</t>
  </si>
  <si>
    <t>25 / 24</t>
  </si>
  <si>
    <t>Magdalena Y Cuell</t>
  </si>
  <si>
    <t>Vianna Mostashari</t>
  </si>
  <si>
    <t>Karina Lee Griffin</t>
  </si>
  <si>
    <t>73 / 80</t>
  </si>
  <si>
    <t>Bo Brisson</t>
  </si>
  <si>
    <t>38 / 79</t>
  </si>
  <si>
    <t>Tara Nastic</t>
  </si>
  <si>
    <t>Victoria Guiral</t>
  </si>
  <si>
    <t>Ava Gracia Hurley</t>
  </si>
  <si>
    <t>Manotick Tennis Club</t>
  </si>
  <si>
    <t>Presley Pellegrino</t>
  </si>
  <si>
    <t>40 / 57</t>
  </si>
  <si>
    <t>Aria MARTIN</t>
  </si>
  <si>
    <t>53 / 80</t>
  </si>
  <si>
    <t>Maeva Kaur Dhillon</t>
  </si>
  <si>
    <t>Chloe Teng</t>
  </si>
  <si>
    <t>Tennis Clubs of Canada</t>
  </si>
  <si>
    <t>11 / 32</t>
  </si>
  <si>
    <t>8 / 21</t>
  </si>
  <si>
    <t>Hana Soheily</t>
  </si>
  <si>
    <t>Kayla Williams</t>
  </si>
  <si>
    <t>Hespeler Tennis Club</t>
  </si>
  <si>
    <t>24 / 29</t>
  </si>
  <si>
    <t>Lee En Lai</t>
  </si>
  <si>
    <t>Gabrielle Galgay</t>
  </si>
  <si>
    <t>Noa Anne Broere</t>
  </si>
  <si>
    <t>30 / 45</t>
  </si>
  <si>
    <t>9 / 14</t>
  </si>
  <si>
    <t>Grace Christina Lawrence</t>
  </si>
  <si>
    <t>48 / 59</t>
  </si>
  <si>
    <t>Ella Bloom Chulak</t>
  </si>
  <si>
    <t>35 / 50</t>
  </si>
  <si>
    <t>Madeleine Penelope Haun</t>
  </si>
  <si>
    <t>82 / 70</t>
  </si>
  <si>
    <t>5 / 8</t>
  </si>
  <si>
    <t>Tenaj Plowell</t>
  </si>
  <si>
    <t>Karina Kolomoets</t>
  </si>
  <si>
    <t>Karmi Singh</t>
  </si>
  <si>
    <t>26 / 33</t>
  </si>
  <si>
    <t>Xirui Ding</t>
  </si>
  <si>
    <t>63 / 39</t>
  </si>
  <si>
    <t>58 / 30</t>
  </si>
  <si>
    <t>Avery Hao</t>
  </si>
  <si>
    <t>Elmridge Tennis Club</t>
  </si>
  <si>
    <t>Saanvi Sharma</t>
  </si>
  <si>
    <t>43 / 45</t>
  </si>
  <si>
    <t>12 / 8</t>
  </si>
  <si>
    <t>Julia Soldatov</t>
  </si>
  <si>
    <t>Julia Jzmati</t>
  </si>
  <si>
    <t>5 / 24</t>
  </si>
  <si>
    <t>Shaghun Dhillon</t>
  </si>
  <si>
    <t>30 / 24</t>
  </si>
  <si>
    <t>Suvera Kaur Gill</t>
  </si>
  <si>
    <t>Dania Ahmed</t>
  </si>
  <si>
    <t>50 / 34</t>
  </si>
  <si>
    <t>Ann Ha</t>
  </si>
  <si>
    <t>Lakewood Indoor Tennis Centre</t>
  </si>
  <si>
    <t>Samantha Elizabeth Manning</t>
  </si>
  <si>
    <t>Amelia M Kelly</t>
  </si>
  <si>
    <t>Elise Chan</t>
  </si>
  <si>
    <t>Sofia Morisette</t>
  </si>
  <si>
    <t>51 / 77</t>
  </si>
  <si>
    <t>Emma Ghantous</t>
  </si>
  <si>
    <t>77 / 49</t>
  </si>
  <si>
    <t>Ziba Forooghian</t>
  </si>
  <si>
    <t>26 / 53</t>
  </si>
  <si>
    <t>13 / 30</t>
  </si>
  <si>
    <t>Sofia Kiselenko</t>
  </si>
  <si>
    <t>44 / 89</t>
  </si>
  <si>
    <t>Vivian Spurrell</t>
  </si>
  <si>
    <t>15 / 5</t>
  </si>
  <si>
    <t>Diana Khodaparast</t>
  </si>
  <si>
    <t>Ziqi Yu</t>
  </si>
  <si>
    <t>60 / 35</t>
  </si>
  <si>
    <t>Mathilde Langis</t>
  </si>
  <si>
    <t>31 / 41</t>
  </si>
  <si>
    <t>Natalia Martin</t>
  </si>
  <si>
    <t>Great West Fitness and Racquets Club</t>
  </si>
  <si>
    <t>153 / 118</t>
  </si>
  <si>
    <t>Scarlett Chan</t>
  </si>
  <si>
    <t>48 / 33</t>
  </si>
  <si>
    <t>Aubrey Baldinelli</t>
  </si>
  <si>
    <t>5 / 13</t>
  </si>
  <si>
    <t>Miadel Flores</t>
  </si>
  <si>
    <t>Tess Marie Trenholm</t>
  </si>
  <si>
    <t>25 / 67</t>
  </si>
  <si>
    <t>Gloria Yang</t>
  </si>
  <si>
    <t>Addison Swanepoel</t>
  </si>
  <si>
    <t>Red Deer Tennis Club</t>
  </si>
  <si>
    <t>8 / 43</t>
  </si>
  <si>
    <t>Nora Skogen</t>
  </si>
  <si>
    <t>79 / 85</t>
  </si>
  <si>
    <t>Chloe Garikimukkula</t>
  </si>
  <si>
    <t>58 / 41</t>
  </si>
  <si>
    <t>39 / 26</t>
  </si>
  <si>
    <t>Naia Luke</t>
  </si>
  <si>
    <t>9 / 34</t>
  </si>
  <si>
    <t>Charlotte Adeline Ratchford</t>
  </si>
  <si>
    <t>14 / 29</t>
  </si>
  <si>
    <t>12 / 24</t>
  </si>
  <si>
    <t>Arianna Fernanda Chacon</t>
  </si>
  <si>
    <t>106 / 95</t>
  </si>
  <si>
    <t>Kinsley Jade Lin</t>
  </si>
  <si>
    <t>40 / 54</t>
  </si>
  <si>
    <t>LILLIAN LI</t>
  </si>
  <si>
    <t>Alexia Lionis</t>
  </si>
  <si>
    <t>Orianny Jean</t>
  </si>
  <si>
    <t>Tennis 3R</t>
  </si>
  <si>
    <t>Victoria Kycia Block</t>
  </si>
  <si>
    <t>13 / 32</t>
  </si>
  <si>
    <t>Emma Isabella Lamacchia</t>
  </si>
  <si>
    <t>2 / 17</t>
  </si>
  <si>
    <t>Valeria Taborda - Valverde</t>
  </si>
  <si>
    <t>Port Hope Racquet Club</t>
  </si>
  <si>
    <t>Aurélie Houde</t>
  </si>
  <si>
    <t>1 / 21</t>
  </si>
  <si>
    <t>Katelyn Sophia Rantz</t>
  </si>
  <si>
    <t>Aurora Community Tennis Club</t>
  </si>
  <si>
    <t>6 / 5</t>
  </si>
  <si>
    <t>Anika Surtani</t>
  </si>
  <si>
    <t>4 / 14</t>
  </si>
  <si>
    <t>Kalina Jourdanova Dakova</t>
  </si>
  <si>
    <t>Ann-Mayelle Veillard</t>
  </si>
  <si>
    <t>Mackenzie Quek</t>
  </si>
  <si>
    <t>Mia Kojic</t>
  </si>
  <si>
    <t>41 / 54</t>
  </si>
  <si>
    <t>Chloe Leblond</t>
  </si>
  <si>
    <t>Tam Heather Tennis Club</t>
  </si>
  <si>
    <t>Hengxi Celine Du</t>
  </si>
  <si>
    <t>Melina Ioannidis</t>
  </si>
  <si>
    <t>34 / 27</t>
  </si>
  <si>
    <t>4 / 5</t>
  </si>
  <si>
    <t>Fiona Chen</t>
  </si>
  <si>
    <t>Aria Bloom</t>
  </si>
  <si>
    <t>94 / 29</t>
  </si>
  <si>
    <t>40 / 6</t>
  </si>
  <si>
    <t>Juliette Tremblay</t>
  </si>
  <si>
    <t>16 / 36</t>
  </si>
  <si>
    <t>Alena Sui</t>
  </si>
  <si>
    <t>35 / 42</t>
  </si>
  <si>
    <t>15 / 20</t>
  </si>
  <si>
    <t>Kiara Krishnan</t>
  </si>
  <si>
    <t>98 / 149</t>
  </si>
  <si>
    <t>Lillian Tooryani</t>
  </si>
  <si>
    <t>16 / 26</t>
  </si>
  <si>
    <t>ALICE Wan yee Wong</t>
  </si>
  <si>
    <t>56 / 62</t>
  </si>
  <si>
    <t>Laura Gyori</t>
  </si>
  <si>
    <t>Sofia Chanel Shelton</t>
  </si>
  <si>
    <t>Mengge(Maya) Xu</t>
  </si>
  <si>
    <t>Kate Lalli</t>
  </si>
  <si>
    <t>Fiona Lee Agostino</t>
  </si>
  <si>
    <t>Thunder Bay Community Tennis Club</t>
  </si>
  <si>
    <t>Olivia Yueer Hao</t>
  </si>
  <si>
    <t>33 / 38</t>
  </si>
  <si>
    <t>Yu Nohara</t>
  </si>
  <si>
    <t>Daniella Adekoya</t>
  </si>
  <si>
    <t>8 / 19</t>
  </si>
  <si>
    <t>Anna Bella Grozdanovski</t>
  </si>
  <si>
    <t>18 / 20</t>
  </si>
  <si>
    <t>9 / 5</t>
  </si>
  <si>
    <t>Alexa Ardeleanu</t>
  </si>
  <si>
    <t>Sloane Burdick</t>
  </si>
  <si>
    <t>35 / 36</t>
  </si>
  <si>
    <t>8 / 9</t>
  </si>
  <si>
    <t>Mariya Fedchyshyna</t>
  </si>
  <si>
    <t>Allegra Gill</t>
  </si>
  <si>
    <t>15 / 80</t>
  </si>
  <si>
    <t>Victoria Guo</t>
  </si>
  <si>
    <t>Craig Henry</t>
  </si>
  <si>
    <t>Mehak Garg</t>
  </si>
  <si>
    <t>Violette Hébert</t>
  </si>
  <si>
    <t>Amber Tsai</t>
  </si>
  <si>
    <t>25 / 28</t>
  </si>
  <si>
    <t>Nayma Veillette</t>
  </si>
  <si>
    <t>31 / 33</t>
  </si>
  <si>
    <t>Nicola Bourne</t>
  </si>
  <si>
    <t>Maya Felina Rademacher</t>
  </si>
  <si>
    <t>Nya BLANCHARD</t>
  </si>
  <si>
    <t>Capri Metelitsa</t>
  </si>
  <si>
    <t>23 / 27</t>
  </si>
  <si>
    <t>Sophie Zhou</t>
  </si>
  <si>
    <t>Pleasantview Tennis Club</t>
  </si>
  <si>
    <t>11 / 35</t>
  </si>
  <si>
    <t>Eliana Gamboa Puentevella</t>
  </si>
  <si>
    <t>Suncoast Racquet Club</t>
  </si>
  <si>
    <t>60 / 65</t>
  </si>
  <si>
    <t>30 / 21</t>
  </si>
  <si>
    <t>Caroline Chuyi Wang</t>
  </si>
  <si>
    <t>Olivia Mary Hipwell</t>
  </si>
  <si>
    <t>28 / 51</t>
  </si>
  <si>
    <t>Georgena Banquicio</t>
  </si>
  <si>
    <t>34 / 38</t>
  </si>
  <si>
    <t>SOPHIA MARIA TRULESCU</t>
  </si>
  <si>
    <t>41 / 14</t>
  </si>
  <si>
    <t>4 / 2</t>
  </si>
  <si>
    <t>Victoria Dorvius</t>
  </si>
  <si>
    <t>Enlin Fan</t>
  </si>
  <si>
    <t>42 / 51</t>
  </si>
  <si>
    <t>GAURI BHARDWAJ</t>
  </si>
  <si>
    <t>38 / 67</t>
  </si>
  <si>
    <t>Renyi Niu</t>
  </si>
  <si>
    <t>Madeline Wong</t>
  </si>
  <si>
    <t>4 / 18</t>
  </si>
  <si>
    <t>Piper Harrison</t>
  </si>
  <si>
    <t>18 / 38</t>
  </si>
  <si>
    <t>Rosalie Lanthier</t>
  </si>
  <si>
    <t>Talia Petrovski</t>
  </si>
  <si>
    <t>81 / 62</t>
  </si>
  <si>
    <t>51 / 24</t>
  </si>
  <si>
    <t>Mila Phoebe Madrid</t>
  </si>
  <si>
    <t>18 / 31</t>
  </si>
  <si>
    <t>11 / 5</t>
  </si>
  <si>
    <t>Ignatia Walsh</t>
  </si>
  <si>
    <t>13 / 40</t>
  </si>
  <si>
    <t>Baaraan Mahmoudi</t>
  </si>
  <si>
    <t>Sophie Vivienne Ma</t>
  </si>
  <si>
    <t>20 / 38</t>
  </si>
  <si>
    <t>Lara Davidovna Sutherland</t>
  </si>
  <si>
    <t>6 / 17</t>
  </si>
  <si>
    <t>Remy Quinn Durocher</t>
  </si>
  <si>
    <t>Stratford Tennis Club</t>
  </si>
  <si>
    <t>Mila Levac</t>
  </si>
  <si>
    <t>13 / 63</t>
  </si>
  <si>
    <t>Brooklyn Desjardins</t>
  </si>
  <si>
    <t>Hana Kayano Wright</t>
  </si>
  <si>
    <t>Katie Yin</t>
  </si>
  <si>
    <t>Madison Dionne</t>
  </si>
  <si>
    <t>31 / 67</t>
  </si>
  <si>
    <t>Iris RuiYing Cen</t>
  </si>
  <si>
    <t>Meadowvale West Tennis Club</t>
  </si>
  <si>
    <t>20 / 57</t>
  </si>
  <si>
    <t>Mila Khayretdinova</t>
  </si>
  <si>
    <t>3 / 38</t>
  </si>
  <si>
    <t>Asena Kiamil</t>
  </si>
  <si>
    <t>46 / 40</t>
  </si>
  <si>
    <t>Stella Somerville</t>
  </si>
  <si>
    <t>40 / 47</t>
  </si>
  <si>
    <t>TIFFANY ZHENG</t>
  </si>
  <si>
    <t>1 / 0</t>
  </si>
  <si>
    <t>Lucy Jane Glaister</t>
  </si>
  <si>
    <t>Meryem Besri Besri</t>
  </si>
  <si>
    <t>Flora Ziyue Wang</t>
  </si>
  <si>
    <t>42 / 39</t>
  </si>
  <si>
    <t>Lingxi Sun</t>
  </si>
  <si>
    <t>Ama Marie Elvira Kouadio</t>
  </si>
  <si>
    <t>41 / 24</t>
  </si>
  <si>
    <t>Phoebe Xu</t>
  </si>
  <si>
    <t>50 / 39</t>
  </si>
  <si>
    <t>Parine Jani</t>
  </si>
  <si>
    <t>7 / 35</t>
  </si>
  <si>
    <t>1 / 10</t>
  </si>
  <si>
    <t>Emma Gao</t>
  </si>
  <si>
    <t>9 / 24</t>
  </si>
  <si>
    <t>Adelaide Morgan</t>
  </si>
  <si>
    <t>Eglinton Flats Winter Tennis Club</t>
  </si>
  <si>
    <t>Zoe Loftus</t>
  </si>
  <si>
    <t>Tallulah Oakes</t>
  </si>
  <si>
    <t>Kira Karstoff</t>
  </si>
  <si>
    <t>Mayssa Maddouri</t>
  </si>
  <si>
    <t>Juanita Valeria Ruiz</t>
  </si>
  <si>
    <t>26 / 43</t>
  </si>
  <si>
    <t>Erica Amy Els</t>
  </si>
  <si>
    <t>Audrey Lu</t>
  </si>
  <si>
    <t>Anastasia Savtchenko</t>
  </si>
  <si>
    <t>51 / 40</t>
  </si>
  <si>
    <t>Charlotte Harvey</t>
  </si>
  <si>
    <t>Isadora Xu</t>
  </si>
  <si>
    <t>19 / 27</t>
  </si>
  <si>
    <t>15 / 21</t>
  </si>
  <si>
    <t>Harper Van Beveren</t>
  </si>
  <si>
    <t>Daphne Kaiser</t>
  </si>
  <si>
    <t>Badminton &amp; Racquet Club</t>
  </si>
  <si>
    <t>kunyou Guan</t>
  </si>
  <si>
    <t>Mia Krusarovski</t>
  </si>
  <si>
    <t>Rachel Menzies</t>
  </si>
  <si>
    <t>20 / 12</t>
  </si>
  <si>
    <t>Adrianna Rajchel</t>
  </si>
  <si>
    <t>Jessie DONG</t>
  </si>
  <si>
    <t>22 / 33</t>
  </si>
  <si>
    <t>Milana Maor</t>
  </si>
  <si>
    <t>21 / 31</t>
  </si>
  <si>
    <t>Naomi Lau</t>
  </si>
  <si>
    <t>Lianna Rashed</t>
  </si>
  <si>
    <t>3 / 15</t>
  </si>
  <si>
    <t>Nina Nicole Potkonjak-Smolcic</t>
  </si>
  <si>
    <t>Gina Robin O'Dowd</t>
  </si>
  <si>
    <t>Diana Troitska</t>
  </si>
  <si>
    <t>Nika Yaghoubi</t>
  </si>
  <si>
    <t>Cassia Contreras</t>
  </si>
  <si>
    <t>18 / 32</t>
  </si>
  <si>
    <t>Margot Couture</t>
  </si>
  <si>
    <t>7 / 20</t>
  </si>
  <si>
    <t>Eliana Green</t>
  </si>
  <si>
    <t>5 / 27</t>
  </si>
  <si>
    <t>Dina Chakri</t>
  </si>
  <si>
    <t>Emma Y Che</t>
  </si>
  <si>
    <t>Thorold Tennis Club</t>
  </si>
  <si>
    <t>Jasmine El Ouadi</t>
  </si>
  <si>
    <t>0 / 11</t>
  </si>
  <si>
    <t>Emma Yu</t>
  </si>
  <si>
    <t>Laila Hilmi</t>
  </si>
  <si>
    <t>13 / 33</t>
  </si>
  <si>
    <t>Ruike Ni</t>
  </si>
  <si>
    <t>Ariella Naomi Shegelman</t>
  </si>
  <si>
    <t>LUCY HA</t>
  </si>
  <si>
    <t>4 / 24</t>
  </si>
  <si>
    <t>Mila Anglade</t>
  </si>
  <si>
    <t>Belen Aldana</t>
  </si>
  <si>
    <t>Hannah Lewis</t>
  </si>
  <si>
    <t>11 / 29</t>
  </si>
  <si>
    <t>Camila Danielle Arias</t>
  </si>
  <si>
    <t>13 / 27</t>
  </si>
  <si>
    <t>Brielle Han</t>
  </si>
  <si>
    <t>69 / 131</t>
  </si>
  <si>
    <t>Élisa Deschatelets</t>
  </si>
  <si>
    <t>Centre Récréatif Rock Forest / École Tennestrie</t>
  </si>
  <si>
    <t>4 / 21</t>
  </si>
  <si>
    <t>Tara Sepahsalari</t>
  </si>
  <si>
    <t>5 / 28</t>
  </si>
  <si>
    <t>Elise Landry</t>
  </si>
  <si>
    <t>5 / 2</t>
  </si>
  <si>
    <t>Robin Lee</t>
  </si>
  <si>
    <t>Yuetian Caroline Guo</t>
  </si>
  <si>
    <t>Vedika P Sant</t>
  </si>
  <si>
    <t>Martingrove Tennis Club</t>
  </si>
  <si>
    <t>Lara Sandra Webster</t>
  </si>
  <si>
    <t>Hazel Geng</t>
  </si>
  <si>
    <t>15 / 33</t>
  </si>
  <si>
    <t>Rebecca Maria Marcu</t>
  </si>
  <si>
    <t>National Capital Tennis Association</t>
  </si>
  <si>
    <t>Suris Tan</t>
  </si>
  <si>
    <t>Cheryl Elizabeth Ong</t>
  </si>
  <si>
    <t>11 / 27</t>
  </si>
  <si>
    <t>Emily Chai</t>
  </si>
  <si>
    <t>ON Tennis Toronto No Club</t>
  </si>
  <si>
    <t>Yulli Anne Tsang</t>
  </si>
  <si>
    <t>Derrick Golf &amp; Winter Club</t>
  </si>
  <si>
    <t>Allison Reimer</t>
  </si>
  <si>
    <t>Heidi Liu</t>
  </si>
  <si>
    <t>45 / 34</t>
  </si>
  <si>
    <t>Isla Cowper</t>
  </si>
  <si>
    <t>28 / 40</t>
  </si>
  <si>
    <t>Mia Mengchen Sun</t>
  </si>
  <si>
    <t>Mia Baker</t>
  </si>
  <si>
    <t>2 / 57</t>
  </si>
  <si>
    <t>Mackenzie Alexandra Greer</t>
  </si>
  <si>
    <t>119 / 30</t>
  </si>
  <si>
    <t>75 / 12</t>
  </si>
  <si>
    <t>Jiapei Gao</t>
  </si>
  <si>
    <t>Leah Lalonde</t>
  </si>
  <si>
    <t>North Bay Tennis Club</t>
  </si>
  <si>
    <t>47 / 32</t>
  </si>
  <si>
    <t>Adele Cui</t>
  </si>
  <si>
    <t>46 / 34</t>
  </si>
  <si>
    <t>Camilia Aroub</t>
  </si>
  <si>
    <t>2 / 14</t>
  </si>
  <si>
    <t>Olivia V. Jin</t>
  </si>
  <si>
    <t>26 / 59</t>
  </si>
  <si>
    <t>Maddy Frances Hughes</t>
  </si>
  <si>
    <t>16 / 25</t>
  </si>
  <si>
    <t>Diya Parkash</t>
  </si>
  <si>
    <t>Eve Fuemana</t>
  </si>
  <si>
    <t>Éloïse Renaud</t>
  </si>
  <si>
    <t>Hanna Qian</t>
  </si>
  <si>
    <t>Simone Tremblay-Roy</t>
  </si>
  <si>
    <t>Club de tennis intérieur Saguenay</t>
  </si>
  <si>
    <t>Reagan Rideout</t>
  </si>
  <si>
    <t>10 / 3</t>
  </si>
  <si>
    <t>3 / 0</t>
  </si>
  <si>
    <t>Blake Beck Sadler</t>
  </si>
  <si>
    <t>Sophia Marietta Dee</t>
  </si>
  <si>
    <t>14 / 26</t>
  </si>
  <si>
    <t>Ramatoulaye Diallo</t>
  </si>
  <si>
    <t>Ruijia Dong</t>
  </si>
  <si>
    <t>Ashley Chor Wing Yiu</t>
  </si>
  <si>
    <t>13 / 28</t>
  </si>
  <si>
    <t>Shreya Vaidhya NATHAN</t>
  </si>
  <si>
    <t>Angelina Liu</t>
  </si>
  <si>
    <t>73 / 73</t>
  </si>
  <si>
    <t>Karen Alcala Torres</t>
  </si>
  <si>
    <t>Arlie Guthrie</t>
  </si>
  <si>
    <t>Chilliwack Tennis Society</t>
  </si>
  <si>
    <t>Safiatou Ntentie Nchange</t>
  </si>
  <si>
    <t>27 / 12</t>
  </si>
  <si>
    <t>23 / 11</t>
  </si>
  <si>
    <t>Emma Jingya Xi</t>
  </si>
  <si>
    <t>Lily Pilipowicz</t>
  </si>
  <si>
    <t>19 / 21</t>
  </si>
  <si>
    <t>Rehmat Kaur Sandhar</t>
  </si>
  <si>
    <t>Nourine Chebitou</t>
  </si>
  <si>
    <t>Emily Solc</t>
  </si>
  <si>
    <t>Ajax Tennis Club</t>
  </si>
  <si>
    <t>Maggie Yang</t>
  </si>
  <si>
    <t>Olivia Ellis</t>
  </si>
  <si>
    <t>Madison Prsa</t>
  </si>
  <si>
    <t>54 / 88</t>
  </si>
  <si>
    <t>Elise Weaser</t>
  </si>
  <si>
    <t>7 / 23</t>
  </si>
  <si>
    <t>Vasta Keshavarz</t>
  </si>
  <si>
    <t>Léa Anténor</t>
  </si>
  <si>
    <t>Livia Hu</t>
  </si>
  <si>
    <t>23 / 15</t>
  </si>
  <si>
    <t>Margaux Eile</t>
  </si>
  <si>
    <t>Allison Wu</t>
  </si>
  <si>
    <t>9 / 45</t>
  </si>
  <si>
    <t>Nyla Mandal</t>
  </si>
  <si>
    <t>Elisabeth Zhang</t>
  </si>
  <si>
    <t>Precious J. Mutiku</t>
  </si>
  <si>
    <t>Kensington Gavin</t>
  </si>
  <si>
    <t>70 / 51</t>
  </si>
  <si>
    <t>Navia Kaylynn Barlow</t>
  </si>
  <si>
    <t>Mira Akhoundova</t>
  </si>
  <si>
    <t>Maria del Mar Palencia Malagon</t>
  </si>
  <si>
    <t>The Glencoe Club</t>
  </si>
  <si>
    <t>3 / 19</t>
  </si>
  <si>
    <t>Erika ko</t>
  </si>
  <si>
    <t>61 / 74</t>
  </si>
  <si>
    <t>Nadia Mnyusiwalla</t>
  </si>
  <si>
    <t>15 / 39</t>
  </si>
  <si>
    <t>Yuxin Bella Cao</t>
  </si>
  <si>
    <t>Elise Hiu-Wing Lin</t>
  </si>
  <si>
    <t>17 / 30</t>
  </si>
  <si>
    <t>Renee Burton</t>
  </si>
  <si>
    <t>9 / 4</t>
  </si>
  <si>
    <t>Nalla Isabella Lteif</t>
  </si>
  <si>
    <t>Alanah Dedhar</t>
  </si>
  <si>
    <t>14 / 37</t>
  </si>
  <si>
    <t>Quynh Phuong Pham</t>
  </si>
  <si>
    <t>14 / 48</t>
  </si>
  <si>
    <t>Julia Michelle Cipriano</t>
  </si>
  <si>
    <t>Joud Marmash</t>
  </si>
  <si>
    <t>Nitya Myneni</t>
  </si>
  <si>
    <t>Hailey Johnson</t>
  </si>
  <si>
    <t>28 / 21</t>
  </si>
  <si>
    <t>Olivia Duthoit</t>
  </si>
  <si>
    <t>caitlin wong</t>
  </si>
  <si>
    <t>Erin Park</t>
  </si>
  <si>
    <t>Ai-Ni Amelia Cheng</t>
  </si>
  <si>
    <t>ON West Central No Club</t>
  </si>
  <si>
    <t>Delia Stoian</t>
  </si>
  <si>
    <t>48 / 36</t>
  </si>
  <si>
    <t>Addison Gilbertson</t>
  </si>
  <si>
    <t>18 / 30</t>
  </si>
  <si>
    <t>Mirra Tverskaia</t>
  </si>
  <si>
    <t>Amelia Alexei</t>
  </si>
  <si>
    <t>63 / 32</t>
  </si>
  <si>
    <t>Charlotte Huiyan Li</t>
  </si>
  <si>
    <t>15 / 24</t>
  </si>
  <si>
    <t>Kashvi Chaudhary</t>
  </si>
  <si>
    <t>Brampton Tennis Club</t>
  </si>
  <si>
    <t>Felicia Mingfei Li</t>
  </si>
  <si>
    <t>9 / 22</t>
  </si>
  <si>
    <t>Yasmine Nada Bouchamma</t>
  </si>
  <si>
    <t>Anzhuo Yi</t>
  </si>
  <si>
    <t>Aura Hayer</t>
  </si>
  <si>
    <t>Sunshine Hills Tennis Club</t>
  </si>
  <si>
    <t>32 / 71</t>
  </si>
  <si>
    <t>Melinna Yu Nuo Yang</t>
  </si>
  <si>
    <t>36 / 54</t>
  </si>
  <si>
    <t>15 / 12</t>
  </si>
  <si>
    <t>Eiman Javaid Khan</t>
  </si>
  <si>
    <t>Kayla Caden</t>
  </si>
  <si>
    <t>Club de tennis St-Lambert</t>
  </si>
  <si>
    <t>Angel Wen</t>
  </si>
  <si>
    <t>Giselle Christine Lambert</t>
  </si>
  <si>
    <t>10 / 34</t>
  </si>
  <si>
    <t>Daisy Dai</t>
  </si>
  <si>
    <t>16 / 7</t>
  </si>
  <si>
    <t>Harper Whitehead</t>
  </si>
  <si>
    <t>35 / 45</t>
  </si>
  <si>
    <t>Cléony Le</t>
  </si>
  <si>
    <t>Charley Burgess</t>
  </si>
  <si>
    <t>23 / 29</t>
  </si>
  <si>
    <t>Neiva George</t>
  </si>
  <si>
    <t>Emma Hao</t>
  </si>
  <si>
    <t>Marissa Grisedale</t>
  </si>
  <si>
    <t>Commons Racquet Club at Predator Ridge</t>
  </si>
  <si>
    <t>Antonella Palencia-Malagon</t>
  </si>
  <si>
    <t>6 / 29</t>
  </si>
  <si>
    <t>Maya Chow</t>
  </si>
  <si>
    <t>ACE Tennis - Toronto Tennis City</t>
  </si>
  <si>
    <t>10 / 6</t>
  </si>
  <si>
    <t>Saisha Sharma</t>
  </si>
  <si>
    <t>Premier Racquet Clubs – Brampton</t>
  </si>
  <si>
    <t>Fabiola Antonella Sanchez Ferreyra</t>
  </si>
  <si>
    <t>Yanya Zhao</t>
  </si>
  <si>
    <t>52 / 31</t>
  </si>
  <si>
    <t>Christina Chen</t>
  </si>
  <si>
    <t>7 / 66</t>
  </si>
  <si>
    <t>Jiayi Emma Wang</t>
  </si>
  <si>
    <t>Tamara Amad</t>
  </si>
  <si>
    <t>Archini Bera</t>
  </si>
  <si>
    <t>Meera Ramanathan</t>
  </si>
  <si>
    <t>Sofia Kalchenko</t>
  </si>
  <si>
    <t>20 / 21</t>
  </si>
  <si>
    <t>Madelyn Palsat</t>
  </si>
  <si>
    <t>ALYSSA MA</t>
  </si>
  <si>
    <t>Alice Trépanier</t>
  </si>
  <si>
    <t>Centre Récréatif Rock Forest</t>
  </si>
  <si>
    <t>Emmanuelle Farah Kwin Onana</t>
  </si>
  <si>
    <t>Club de tennis de Gatineau</t>
  </si>
  <si>
    <t>Flore Laferrière</t>
  </si>
  <si>
    <t>Tennis 3R- l’Academie l’échange</t>
  </si>
  <si>
    <t>Autumn VandeCoevering</t>
  </si>
  <si>
    <t>Jaelynn Lumandas</t>
  </si>
  <si>
    <t>1 / 24</t>
  </si>
  <si>
    <t>Kate Sumner</t>
  </si>
  <si>
    <t>Xiaoyue (Vivian) Zhang</t>
  </si>
  <si>
    <t>Anastasia Gorceac</t>
  </si>
  <si>
    <t>Violet Rose Divell</t>
  </si>
  <si>
    <t>Yujin Cao</t>
  </si>
  <si>
    <t>Juliette Viel</t>
  </si>
  <si>
    <t>Club de tennis de Rivière-du-Loup</t>
  </si>
  <si>
    <t>Eya Louati</t>
  </si>
  <si>
    <t>28 / 62</t>
  </si>
  <si>
    <t>Yingshan Zoey Chen</t>
  </si>
  <si>
    <t>Thornhill Country Club</t>
  </si>
  <si>
    <t>Christine Choi</t>
  </si>
  <si>
    <t>Harper Thompson</t>
  </si>
  <si>
    <t>2 / 42</t>
  </si>
  <si>
    <t>Avery Rose Kon</t>
  </si>
  <si>
    <t>Annabelle Zhao</t>
  </si>
  <si>
    <t>10 / 8</t>
  </si>
  <si>
    <t>Jylian May II Mauricio Luces</t>
  </si>
  <si>
    <t>Juliana Pena</t>
  </si>
  <si>
    <t>Tennis Québec (région Montréal Ouest)</t>
  </si>
  <si>
    <t>Olive Allen</t>
  </si>
  <si>
    <t>13 / 25</t>
  </si>
  <si>
    <t>Isabella Maria Galati</t>
  </si>
  <si>
    <t>Chloe Brown</t>
  </si>
  <si>
    <t>Candice Cui</t>
  </si>
  <si>
    <t>Okanagan Mission Tennis Club Kelowna</t>
  </si>
  <si>
    <t>11 / 19</t>
  </si>
  <si>
    <t>Nya Robinson</t>
  </si>
  <si>
    <t>Elisabeth Laferrière</t>
  </si>
  <si>
    <t>Elisha Lee</t>
  </si>
  <si>
    <t>20 / 29</t>
  </si>
  <si>
    <t>KIanna Jia Christianson</t>
  </si>
  <si>
    <t>City of Burnaby</t>
  </si>
  <si>
    <t>Samantha Bronwyn Daniell</t>
  </si>
  <si>
    <t>62 / 62</t>
  </si>
  <si>
    <t>Mila Sofia Galvez Bourgeois-Charbonneau</t>
  </si>
  <si>
    <t>Scarlett Prsa</t>
  </si>
  <si>
    <t>52 / 85</t>
  </si>
  <si>
    <t>Sofia Belyavskaya</t>
  </si>
  <si>
    <t>35 / 53</t>
  </si>
  <si>
    <t>Juliette Merino</t>
  </si>
  <si>
    <t>Kristina Hawkins</t>
  </si>
  <si>
    <t>Anaya Mohammed Shurrab</t>
  </si>
  <si>
    <t>Marie Renaud</t>
  </si>
  <si>
    <t>Lyskha Ann Louis</t>
  </si>
  <si>
    <t>Seher Sharma</t>
  </si>
  <si>
    <t>Glendale Tennis Club</t>
  </si>
  <si>
    <t>Gloriana Shiqi Zhang</t>
  </si>
  <si>
    <t>Dani Banquicio</t>
  </si>
  <si>
    <t>17 / 37</t>
  </si>
  <si>
    <t>Audrey Dionne-Chen</t>
  </si>
  <si>
    <t>Ivana Novatus Nguma</t>
  </si>
  <si>
    <t>Calgary Tennis Society</t>
  </si>
  <si>
    <t>Abigale Julia Dioszeghy Beatty</t>
  </si>
  <si>
    <t>rafaela pena</t>
  </si>
  <si>
    <t>Kaja Gacanin</t>
  </si>
  <si>
    <t>Tomi Yakub</t>
  </si>
  <si>
    <t>Saaya Isabella Thompson</t>
  </si>
  <si>
    <t>Mantian Ellie Ni</t>
  </si>
  <si>
    <t>Ruby Mika Szakacs</t>
  </si>
  <si>
    <t>Mila Isaeva</t>
  </si>
  <si>
    <t>Catherine Qu</t>
  </si>
  <si>
    <t>3 / 16</t>
  </si>
  <si>
    <t>Riley Yang</t>
  </si>
  <si>
    <t>54 / 37</t>
  </si>
  <si>
    <t>Vira Beskupska</t>
  </si>
  <si>
    <t>Charlotte Gordovin</t>
  </si>
  <si>
    <t>Elina Chai</t>
  </si>
  <si>
    <t>Rowan Ferris</t>
  </si>
  <si>
    <t>Medicine Hat Tennis Club</t>
  </si>
  <si>
    <t>Niveah Watt-Shelton</t>
  </si>
  <si>
    <t>28 / 30</t>
  </si>
  <si>
    <t>Feiran Zhang</t>
  </si>
  <si>
    <t>Huiran Zhang</t>
  </si>
  <si>
    <t>Lydia Hilborn</t>
  </si>
  <si>
    <t>Cutten Fields</t>
  </si>
  <si>
    <t>Chelsey Amundson</t>
  </si>
  <si>
    <t>Ace Tennis Academy</t>
  </si>
  <si>
    <t>Arianne Pacris Inojales</t>
  </si>
  <si>
    <t>Edmonton - Public</t>
  </si>
  <si>
    <t>Dina Karahotzitis</t>
  </si>
  <si>
    <t>0 / 19</t>
  </si>
  <si>
    <t>Allison Zhang</t>
  </si>
  <si>
    <t>4 / 19</t>
  </si>
  <si>
    <t>Vera Nino</t>
  </si>
  <si>
    <t>Sasha Sandhu Chen</t>
  </si>
  <si>
    <t>Calgary Winter Club</t>
  </si>
  <si>
    <t>Anabelle Duchesne</t>
  </si>
  <si>
    <t>Eve Bussière</t>
  </si>
  <si>
    <t>Emma Thomson</t>
  </si>
  <si>
    <t>Marusya Bakaeva</t>
  </si>
  <si>
    <t>Alexandra Ciacoi-Pop</t>
  </si>
  <si>
    <t>Parkway Valley Tennis Club</t>
  </si>
  <si>
    <t>Frankie Hunsberger</t>
  </si>
  <si>
    <t>Barbara Li</t>
  </si>
  <si>
    <t>Freya Run Rutledge</t>
  </si>
  <si>
    <t>Cynthia Wang</t>
  </si>
  <si>
    <t>Mackenzie Lee</t>
  </si>
  <si>
    <t>Alicia Januario</t>
  </si>
  <si>
    <t>Grâce-David Adzo TRAORÉ</t>
  </si>
  <si>
    <t>QC AutreClub</t>
  </si>
  <si>
    <t>Hannah Kucherawy</t>
  </si>
  <si>
    <t>Simcoe Tennis</t>
  </si>
  <si>
    <t>3 / 20</t>
  </si>
  <si>
    <t>Iris Li</t>
  </si>
  <si>
    <t>11 / 26</t>
  </si>
  <si>
    <t>Katie Elizabeth Furlan</t>
  </si>
  <si>
    <t>Michelle Hiu Tung Law</t>
  </si>
  <si>
    <t>31 / 46</t>
  </si>
  <si>
    <t>Aida Banerjee</t>
  </si>
  <si>
    <t>7 / 21</t>
  </si>
  <si>
    <t>Lucia Racquel Deagle</t>
  </si>
  <si>
    <t>1 / 16</t>
  </si>
  <si>
    <t>Ruhi Juneja</t>
  </si>
  <si>
    <t>IQ Tennis and Pickleball Centre</t>
  </si>
  <si>
    <t>Emmy Judge</t>
  </si>
  <si>
    <t>Peiyu(Cici) Li</t>
  </si>
  <si>
    <t>10 / 22</t>
  </si>
  <si>
    <t>Xi Niu</t>
  </si>
  <si>
    <t>Sophia Zhao</t>
  </si>
  <si>
    <t>Sophia Jaffer</t>
  </si>
  <si>
    <t>Ella Luo</t>
  </si>
  <si>
    <t>Vittoria Veronica Noce</t>
  </si>
  <si>
    <t>13 / 38</t>
  </si>
  <si>
    <t>Maya Clara Shakra</t>
  </si>
  <si>
    <t>14 / 30</t>
  </si>
  <si>
    <t>Nysa Iyer</t>
  </si>
  <si>
    <t>32 / 33</t>
  </si>
  <si>
    <t>Olivia Franchi</t>
  </si>
  <si>
    <t>Barrie North Winter Tennis</t>
  </si>
  <si>
    <t>JIAYI LIN</t>
  </si>
  <si>
    <t>Mayfair Parkway Racquet Club</t>
  </si>
  <si>
    <t>Yuxuan Niu</t>
  </si>
  <si>
    <t>Yanxi Chen</t>
  </si>
  <si>
    <t>Amy Duo</t>
  </si>
  <si>
    <t>Tillya Villeneuve</t>
  </si>
  <si>
    <t>Baani Kaur Saini</t>
  </si>
  <si>
    <t>Tamara Skayem</t>
  </si>
  <si>
    <t>Charlotte Lanthier</t>
  </si>
  <si>
    <t>Apphia Anderson</t>
  </si>
  <si>
    <t>Cindy Chai</t>
  </si>
  <si>
    <t>Kaira Ankit Arora</t>
  </si>
  <si>
    <t>Mohawk Tennis Club</t>
  </si>
  <si>
    <t>2 / 24</t>
  </si>
  <si>
    <t>Lea Youssef</t>
  </si>
  <si>
    <t>Hannah Grace Burrows</t>
  </si>
  <si>
    <t>6 / 22</t>
  </si>
  <si>
    <t>Jade Adepetu</t>
  </si>
  <si>
    <t>Jaclyn Zhang</t>
  </si>
  <si>
    <t>42 / 31</t>
  </si>
  <si>
    <t>Alison Kao</t>
  </si>
  <si>
    <t>Bella Huang</t>
  </si>
  <si>
    <t>10 / 23</t>
  </si>
  <si>
    <t>Arya Thompson</t>
  </si>
  <si>
    <t>Amaara Bhardwaj</t>
  </si>
  <si>
    <t>Arianna Shiyong Zhang</t>
  </si>
  <si>
    <t>Evelyn Jewell Rautenbach</t>
  </si>
  <si>
    <t>14 / 20</t>
  </si>
  <si>
    <t>Frances Fletcher</t>
  </si>
  <si>
    <t>Danika Masi</t>
  </si>
  <si>
    <t>17 / 9</t>
  </si>
  <si>
    <t>9 / 2</t>
  </si>
  <si>
    <t>Claire Sattar</t>
  </si>
  <si>
    <t>10 / 26</t>
  </si>
  <si>
    <t>Mischa Simone Teotico</t>
  </si>
  <si>
    <t>13 / 47</t>
  </si>
  <si>
    <t>Mia Tan</t>
  </si>
  <si>
    <t>Zelda Gwen Zenith</t>
  </si>
  <si>
    <t>47 / 82</t>
  </si>
  <si>
    <t>Phoenix Anneliese Daniel</t>
  </si>
  <si>
    <t>Sophie Clara Vandor</t>
  </si>
  <si>
    <t>5 / 15</t>
  </si>
  <si>
    <t>Ariana Eslami</t>
  </si>
  <si>
    <t>Harchanan Kaur Kandola</t>
  </si>
  <si>
    <t>Skye Gill</t>
  </si>
  <si>
    <t>23 / 38</t>
  </si>
  <si>
    <t>Elissa Tang</t>
  </si>
  <si>
    <t>Rosalie Hao</t>
  </si>
  <si>
    <t>24 / 34</t>
  </si>
  <si>
    <t>Amansia Elena Ilas</t>
  </si>
  <si>
    <t>Isla Lynn Wong</t>
  </si>
  <si>
    <t>11 / 6</t>
  </si>
  <si>
    <t>7 / 1</t>
  </si>
  <si>
    <t>Elyse Pritchard</t>
  </si>
  <si>
    <t>Makarei Kaye Pujadas</t>
  </si>
  <si>
    <t>Jane Reinhart</t>
  </si>
  <si>
    <t>Ophelia Swan Hughes</t>
  </si>
  <si>
    <t>Isra Jivraj</t>
  </si>
  <si>
    <t>14 / 40</t>
  </si>
  <si>
    <t>Sofia Caicedo Delgado</t>
  </si>
  <si>
    <t>Aditri Dutta</t>
  </si>
  <si>
    <t>Jia Yoon</t>
  </si>
  <si>
    <t>7 / 9</t>
  </si>
  <si>
    <t>Venba Prabhaharan</t>
  </si>
  <si>
    <t>Sobha Kaur Sandhu</t>
  </si>
  <si>
    <t>Leyla Leroy</t>
  </si>
  <si>
    <t>15 / 32</t>
  </si>
  <si>
    <t>Angela Michel</t>
  </si>
  <si>
    <t>122 / 138</t>
  </si>
  <si>
    <t>Alexia Tchamani</t>
  </si>
  <si>
    <t>94 / 91</t>
  </si>
  <si>
    <t>Nimesha Singh</t>
  </si>
  <si>
    <t>Lilian Muhammad</t>
  </si>
  <si>
    <t>61 / 60</t>
  </si>
  <si>
    <t>Nika Kharchenko</t>
  </si>
  <si>
    <t>38 / 65</t>
  </si>
  <si>
    <t>Lingxi Li</t>
  </si>
  <si>
    <t>Jeanne Ricard</t>
  </si>
  <si>
    <t>19 / 25</t>
  </si>
  <si>
    <t>Isabelle Dietrich</t>
  </si>
  <si>
    <t>Stella Huang</t>
  </si>
  <si>
    <t>40 / 44</t>
  </si>
  <si>
    <t>Julia Anne Kennedy</t>
  </si>
  <si>
    <t>70 / 75</t>
  </si>
  <si>
    <t>Erika Iturbide</t>
  </si>
  <si>
    <t>Alessia Nistor</t>
  </si>
  <si>
    <t>37 / 32</t>
  </si>
  <si>
    <t>Brynn Disley</t>
  </si>
  <si>
    <t>Welland Tennis Club</t>
  </si>
  <si>
    <t>2 / 31</t>
  </si>
  <si>
    <t>GABRIELA MENDOZA</t>
  </si>
  <si>
    <t>74 / 57</t>
  </si>
  <si>
    <t>Ariana Alexandria Murji Newman</t>
  </si>
  <si>
    <t>Nour Bouchamma</t>
  </si>
  <si>
    <t>Celeste Daphne Waye</t>
  </si>
  <si>
    <t>Sydney Tam</t>
  </si>
  <si>
    <t>Jacey Jiang</t>
  </si>
  <si>
    <t>Mila Kolar</t>
  </si>
  <si>
    <t>NIRVI SINGH</t>
  </si>
  <si>
    <t>Grande Prairie Tennis Club</t>
  </si>
  <si>
    <t>Valencia Cui</t>
  </si>
  <si>
    <t>Carol Gao</t>
  </si>
  <si>
    <t>Farah Maddouri</t>
  </si>
  <si>
    <t>22 / 15</t>
  </si>
  <si>
    <t>16 / 5</t>
  </si>
  <si>
    <t>Ci Qing</t>
  </si>
  <si>
    <t>Audrey 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</si>
</sst>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01"/>
  <sheetViews>
    <sheetView tabSelected="1" workbookViewId="0">
      <pane ySplit="1" topLeftCell="A437" activePane="bottomLeft" state="frozen"/>
      <selection pane="bottomLeft" activeCell="C461" sqref="C461"/>
    </sheetView>
  </sheetViews>
  <sheetFormatPr defaultRowHeight="14.6" x14ac:dyDescent="0.4"/>
  <cols>
    <col min="1" max="1" width="11" customWidth="1"/>
    <col min="2" max="2" width="17" customWidth="1"/>
    <col min="3" max="3" width="43" customWidth="1"/>
    <col min="4" max="4" width="12" customWidth="1"/>
    <col min="5" max="5" width="13" customWidth="1"/>
    <col min="6" max="6" width="15" customWidth="1"/>
    <col min="7" max="7" width="34" customWidth="1"/>
    <col min="8" max="8" width="70" customWidth="1"/>
    <col min="9" max="9" width="15" customWidth="1"/>
    <col min="10" max="10" width="18" customWidth="1"/>
    <col min="11" max="11" width="22" customWidth="1"/>
    <col min="12" max="12" width="19" customWidth="1"/>
    <col min="13" max="13" width="24" customWidth="1"/>
    <col min="14" max="14" width="21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">
      <c r="A2">
        <v>1</v>
      </c>
      <c r="B2">
        <v>2011</v>
      </c>
      <c r="C2" t="s">
        <v>14</v>
      </c>
      <c r="D2" t="str">
        <f>HYPERLINK("https://ota.tournamentsoftware.com/player-profile/47663C6A-6252-4A32-BB15-72A3103E974D", "Link")</f>
        <v>Link</v>
      </c>
      <c r="E2" s="2">
        <v>112000</v>
      </c>
      <c r="F2" s="3">
        <v>19</v>
      </c>
      <c r="G2" t="s">
        <v>15</v>
      </c>
      <c r="H2" t="s">
        <v>16</v>
      </c>
      <c r="I2">
        <v>13.3</v>
      </c>
      <c r="J2" s="3">
        <v>267</v>
      </c>
      <c r="K2" t="s">
        <v>17</v>
      </c>
      <c r="L2" t="s">
        <v>18</v>
      </c>
      <c r="M2" s="4">
        <v>0.77</v>
      </c>
      <c r="N2" s="4">
        <v>1</v>
      </c>
    </row>
    <row r="3" spans="1:14" x14ac:dyDescent="0.4">
      <c r="A3">
        <v>2</v>
      </c>
      <c r="B3">
        <v>2010</v>
      </c>
      <c r="C3" t="s">
        <v>19</v>
      </c>
      <c r="D3" t="str">
        <f>HYPERLINK("https://ota.tournamentsoftware.com/player-profile/72B7F8EB-196E-4CDC-AC4E-97A06FB049D5", "Link")</f>
        <v>Link</v>
      </c>
      <c r="E3" s="2">
        <v>49200</v>
      </c>
      <c r="F3" s="3">
        <v>12</v>
      </c>
      <c r="G3" t="s">
        <v>20</v>
      </c>
      <c r="H3" t="s">
        <v>21</v>
      </c>
      <c r="I3">
        <v>15.8</v>
      </c>
      <c r="J3" s="3">
        <v>313</v>
      </c>
      <c r="K3" t="s">
        <v>22</v>
      </c>
      <c r="L3" t="s">
        <v>23</v>
      </c>
      <c r="M3" s="4">
        <v>0.6</v>
      </c>
      <c r="N3" s="4">
        <v>0.8</v>
      </c>
    </row>
    <row r="4" spans="1:14" x14ac:dyDescent="0.4">
      <c r="A4">
        <v>3</v>
      </c>
      <c r="B4">
        <v>2010</v>
      </c>
      <c r="C4" t="s">
        <v>24</v>
      </c>
      <c r="D4" t="str">
        <f>HYPERLINK("https://ota.tournamentsoftware.com/player-profile/5356C0CE-8ADD-4A12-8E7F-CBAA37A5E156", "Link")</f>
        <v>Link</v>
      </c>
      <c r="E4" s="2">
        <v>45800</v>
      </c>
      <c r="F4" s="3">
        <v>24</v>
      </c>
      <c r="G4" t="s">
        <v>25</v>
      </c>
      <c r="H4" t="s">
        <v>26</v>
      </c>
      <c r="I4">
        <v>16.100000000000001</v>
      </c>
      <c r="J4" s="3">
        <v>413</v>
      </c>
      <c r="K4" t="s">
        <v>27</v>
      </c>
      <c r="L4" t="s">
        <v>23</v>
      </c>
      <c r="M4" s="4">
        <v>0.59</v>
      </c>
      <c r="N4" s="4">
        <v>0.8</v>
      </c>
    </row>
    <row r="5" spans="1:14" x14ac:dyDescent="0.4">
      <c r="A5">
        <v>4</v>
      </c>
      <c r="B5">
        <v>2011</v>
      </c>
      <c r="C5" t="s">
        <v>28</v>
      </c>
      <c r="D5" t="str">
        <f>HYPERLINK("https://ota.tournamentsoftware.com/player-profile/DE487B40-F77C-458D-B439-5C0E23929AA2", "Link")</f>
        <v>Link</v>
      </c>
      <c r="E5" s="2">
        <v>42400</v>
      </c>
      <c r="F5" s="3">
        <v>18</v>
      </c>
      <c r="G5" t="s">
        <v>29</v>
      </c>
      <c r="H5" t="s">
        <v>16</v>
      </c>
      <c r="I5">
        <v>15</v>
      </c>
      <c r="J5" s="3">
        <v>176</v>
      </c>
      <c r="K5" t="s">
        <v>30</v>
      </c>
      <c r="L5" t="s">
        <v>31</v>
      </c>
      <c r="M5" s="4">
        <v>0.66</v>
      </c>
      <c r="N5" s="4">
        <v>0</v>
      </c>
    </row>
    <row r="6" spans="1:14" x14ac:dyDescent="0.4">
      <c r="A6">
        <v>5</v>
      </c>
      <c r="B6">
        <v>2011</v>
      </c>
      <c r="C6" t="s">
        <v>32</v>
      </c>
      <c r="D6" t="str">
        <f>HYPERLINK("https://ota.tournamentsoftware.com/player-profile/763F2509-AA9B-4D4D-BCC6-15D2C205261C", "Link")</f>
        <v>Link</v>
      </c>
      <c r="E6" s="2">
        <v>37800</v>
      </c>
      <c r="F6" s="3">
        <v>17</v>
      </c>
      <c r="G6" t="s">
        <v>20</v>
      </c>
      <c r="H6" t="s">
        <v>33</v>
      </c>
      <c r="I6">
        <v>17</v>
      </c>
      <c r="J6" s="3">
        <v>369</v>
      </c>
      <c r="K6" t="s">
        <v>34</v>
      </c>
      <c r="L6" t="s">
        <v>35</v>
      </c>
      <c r="M6" s="4">
        <v>0.77</v>
      </c>
      <c r="N6" s="4">
        <v>0.8</v>
      </c>
    </row>
    <row r="7" spans="1:14" x14ac:dyDescent="0.4">
      <c r="A7">
        <v>6</v>
      </c>
      <c r="B7">
        <v>2010</v>
      </c>
      <c r="C7" t="s">
        <v>36</v>
      </c>
      <c r="D7" t="str">
        <f>HYPERLINK("https://ota.tournamentsoftware.com/player-profile/721FAA11-FF66-4812-A2D1-E5B786F516E6", "Link")</f>
        <v>Link</v>
      </c>
      <c r="E7" s="2">
        <v>36890.184999999998</v>
      </c>
      <c r="F7" s="3">
        <v>22</v>
      </c>
      <c r="G7" t="s">
        <v>25</v>
      </c>
      <c r="H7" t="s">
        <v>26</v>
      </c>
      <c r="I7">
        <v>18.100000000000001</v>
      </c>
      <c r="J7" s="3">
        <v>415</v>
      </c>
      <c r="K7" t="s">
        <v>37</v>
      </c>
      <c r="L7" t="s">
        <v>38</v>
      </c>
      <c r="M7" s="4">
        <v>0.62</v>
      </c>
      <c r="N7" s="4">
        <v>0.75</v>
      </c>
    </row>
    <row r="8" spans="1:14" x14ac:dyDescent="0.4">
      <c r="A8">
        <v>7</v>
      </c>
      <c r="B8">
        <v>2011</v>
      </c>
      <c r="C8" t="s">
        <v>39</v>
      </c>
      <c r="D8" t="str">
        <f>HYPERLINK("https://ota.tournamentsoftware.com/player-profile/0807AE8B-DB47-4314-BF22-CDFDADE4C4D2", "Link")</f>
        <v>Link</v>
      </c>
      <c r="E8" s="2">
        <v>33600</v>
      </c>
      <c r="F8" s="3">
        <v>19</v>
      </c>
      <c r="G8" t="s">
        <v>29</v>
      </c>
      <c r="H8" t="s">
        <v>16</v>
      </c>
      <c r="I8">
        <v>17.399999999999999</v>
      </c>
      <c r="J8" s="3">
        <v>304</v>
      </c>
      <c r="K8" t="s">
        <v>40</v>
      </c>
      <c r="L8" t="s">
        <v>41</v>
      </c>
      <c r="M8" s="4">
        <v>0.62</v>
      </c>
      <c r="N8" s="4">
        <v>0.72</v>
      </c>
    </row>
    <row r="9" spans="1:14" x14ac:dyDescent="0.4">
      <c r="A9">
        <v>8</v>
      </c>
      <c r="B9">
        <v>2010</v>
      </c>
      <c r="C9" t="s">
        <v>42</v>
      </c>
      <c r="D9" t="str">
        <f>HYPERLINK("https://ota.tournamentsoftware.com/player-profile/1C43ED18-FC6F-4D79-96F4-741EE783DD61", "Link")</f>
        <v>Link</v>
      </c>
      <c r="E9" s="2">
        <v>30400</v>
      </c>
      <c r="F9" s="3">
        <v>9</v>
      </c>
      <c r="G9" t="s">
        <v>20</v>
      </c>
      <c r="H9" t="s">
        <v>43</v>
      </c>
      <c r="I9">
        <v>16.5</v>
      </c>
      <c r="J9" s="3">
        <v>143</v>
      </c>
      <c r="K9" t="s">
        <v>44</v>
      </c>
      <c r="L9" t="s">
        <v>45</v>
      </c>
      <c r="M9" s="4">
        <v>0.87</v>
      </c>
      <c r="N9" s="4">
        <v>0.86</v>
      </c>
    </row>
    <row r="10" spans="1:14" x14ac:dyDescent="0.4">
      <c r="A10">
        <v>9</v>
      </c>
      <c r="B10">
        <v>2010</v>
      </c>
      <c r="C10" t="s">
        <v>46</v>
      </c>
      <c r="D10" t="str">
        <f>HYPERLINK("https://ota.tournamentsoftware.com/player-profile/96D89BCF-D64D-4FA6-B84B-FF509553BD82", "Link")</f>
        <v>Link</v>
      </c>
      <c r="E10" s="2">
        <v>26960</v>
      </c>
      <c r="F10" s="3">
        <v>20</v>
      </c>
      <c r="G10" t="s">
        <v>29</v>
      </c>
      <c r="H10" t="s">
        <v>47</v>
      </c>
      <c r="I10" t="s">
        <v>48</v>
      </c>
      <c r="J10" s="3">
        <v>359</v>
      </c>
      <c r="K10" t="s">
        <v>49</v>
      </c>
      <c r="L10" t="s">
        <v>50</v>
      </c>
      <c r="M10" s="4">
        <v>0.67</v>
      </c>
      <c r="N10" s="4">
        <v>0.77</v>
      </c>
    </row>
    <row r="11" spans="1:14" x14ac:dyDescent="0.4">
      <c r="A11">
        <v>10</v>
      </c>
      <c r="B11">
        <v>2010</v>
      </c>
      <c r="C11" t="s">
        <v>51</v>
      </c>
      <c r="D11" t="str">
        <f>HYPERLINK("https://ota.tournamentsoftware.com/player-profile/4AA0ABE2-28FD-4E2A-B055-724AC0E33216", "Link")</f>
        <v>Link</v>
      </c>
      <c r="E11" s="2">
        <v>25400</v>
      </c>
      <c r="F11" s="3">
        <v>19</v>
      </c>
      <c r="G11" t="s">
        <v>29</v>
      </c>
      <c r="H11" t="s">
        <v>52</v>
      </c>
      <c r="I11">
        <v>16.5</v>
      </c>
      <c r="J11" s="3">
        <v>207</v>
      </c>
      <c r="K11" t="s">
        <v>53</v>
      </c>
      <c r="L11" t="s">
        <v>54</v>
      </c>
      <c r="M11" s="4">
        <v>0.69</v>
      </c>
      <c r="N11" s="4">
        <v>1</v>
      </c>
    </row>
    <row r="12" spans="1:14" x14ac:dyDescent="0.4">
      <c r="A12">
        <v>11</v>
      </c>
      <c r="B12">
        <v>2010</v>
      </c>
      <c r="C12" t="s">
        <v>55</v>
      </c>
      <c r="D12" t="str">
        <f>HYPERLINK("https://ota.tournamentsoftware.com/player-profile/6001C040-CC0E-4E27-8255-C46ED4BBC0B7", "Link")</f>
        <v>Link</v>
      </c>
      <c r="E12" s="2">
        <v>24560</v>
      </c>
      <c r="F12" s="3">
        <v>15</v>
      </c>
      <c r="G12" t="s">
        <v>29</v>
      </c>
      <c r="H12" t="s">
        <v>56</v>
      </c>
      <c r="I12">
        <v>17</v>
      </c>
      <c r="J12" s="3">
        <v>373</v>
      </c>
      <c r="K12" t="s">
        <v>57</v>
      </c>
      <c r="L12" t="s">
        <v>58</v>
      </c>
      <c r="M12" s="4">
        <v>0.65</v>
      </c>
      <c r="N12" s="4">
        <v>0.75</v>
      </c>
    </row>
    <row r="13" spans="1:14" x14ac:dyDescent="0.4">
      <c r="A13">
        <v>12</v>
      </c>
      <c r="B13">
        <v>2011</v>
      </c>
      <c r="C13" t="s">
        <v>59</v>
      </c>
      <c r="D13" t="str">
        <f>HYPERLINK("https://ota.tournamentsoftware.com/player-profile/DAFF2A5D-C115-45EA-A7F1-1BF3CE46E1D8", "Link")</f>
        <v>Link</v>
      </c>
      <c r="E13" s="2">
        <v>24090.185000000001</v>
      </c>
      <c r="F13" s="3">
        <v>20</v>
      </c>
      <c r="G13" t="s">
        <v>25</v>
      </c>
      <c r="H13" t="s">
        <v>60</v>
      </c>
      <c r="I13">
        <v>16.600000000000001</v>
      </c>
      <c r="J13" s="3">
        <v>365</v>
      </c>
      <c r="K13" t="s">
        <v>61</v>
      </c>
      <c r="L13" t="s">
        <v>62</v>
      </c>
      <c r="M13" s="4">
        <v>0.65</v>
      </c>
      <c r="N13" s="4">
        <v>0.79</v>
      </c>
    </row>
    <row r="14" spans="1:14" x14ac:dyDescent="0.4">
      <c r="A14">
        <v>13</v>
      </c>
      <c r="B14">
        <v>2011</v>
      </c>
      <c r="C14" t="s">
        <v>63</v>
      </c>
      <c r="D14" t="str">
        <f>HYPERLINK("https://ota.tournamentsoftware.com/player-profile/80E89996-8FDD-4543-BA40-C6FA00F06D37", "Link")</f>
        <v>Link</v>
      </c>
      <c r="E14" s="2">
        <v>21478.666000000001</v>
      </c>
      <c r="F14" s="3">
        <v>20</v>
      </c>
      <c r="G14" t="s">
        <v>15</v>
      </c>
      <c r="H14" t="s">
        <v>16</v>
      </c>
      <c r="I14" t="s">
        <v>48</v>
      </c>
      <c r="J14" s="3">
        <v>282</v>
      </c>
      <c r="K14" t="s">
        <v>64</v>
      </c>
      <c r="L14" t="s">
        <v>65</v>
      </c>
      <c r="M14" s="4">
        <v>0.73</v>
      </c>
      <c r="N14" s="4">
        <v>0.72</v>
      </c>
    </row>
    <row r="15" spans="1:14" x14ac:dyDescent="0.4">
      <c r="A15">
        <v>14</v>
      </c>
      <c r="B15">
        <v>2012</v>
      </c>
      <c r="C15" t="s">
        <v>66</v>
      </c>
      <c r="D15" t="str">
        <f>HYPERLINK("https://ota.tournamentsoftware.com/player-profile/8FD3BC1D-AB9E-4EDC-9032-E500E16339DF", "Link")</f>
        <v>Link</v>
      </c>
      <c r="E15" s="2">
        <v>18720</v>
      </c>
      <c r="F15" s="3">
        <v>19</v>
      </c>
      <c r="G15" t="s">
        <v>25</v>
      </c>
      <c r="H15" t="s">
        <v>16</v>
      </c>
      <c r="I15">
        <v>19.899999999999999</v>
      </c>
      <c r="J15" s="3">
        <v>340</v>
      </c>
      <c r="K15" t="s">
        <v>67</v>
      </c>
      <c r="L15" t="s">
        <v>68</v>
      </c>
      <c r="M15" s="4">
        <v>0.54</v>
      </c>
      <c r="N15" s="4">
        <v>0.57999999999999996</v>
      </c>
    </row>
    <row r="16" spans="1:14" x14ac:dyDescent="0.4">
      <c r="A16">
        <v>15</v>
      </c>
      <c r="B16">
        <v>2010</v>
      </c>
      <c r="C16" t="s">
        <v>69</v>
      </c>
      <c r="D16" t="str">
        <f>HYPERLINK("https://ota.tournamentsoftware.com/player-profile/AA449625-361E-4CBB-9345-63E6FBBC7998", "Link")</f>
        <v>Link</v>
      </c>
      <c r="E16" s="2">
        <v>18088</v>
      </c>
      <c r="F16" s="3">
        <v>21</v>
      </c>
      <c r="G16" t="s">
        <v>29</v>
      </c>
      <c r="H16" t="s">
        <v>70</v>
      </c>
      <c r="I16" t="s">
        <v>48</v>
      </c>
      <c r="J16" s="3">
        <v>357</v>
      </c>
      <c r="K16" t="s">
        <v>71</v>
      </c>
      <c r="L16" t="s">
        <v>72</v>
      </c>
      <c r="M16" s="4">
        <v>0.67</v>
      </c>
      <c r="N16" s="4">
        <v>0.77</v>
      </c>
    </row>
    <row r="17" spans="1:14" x14ac:dyDescent="0.4">
      <c r="A17">
        <v>16</v>
      </c>
      <c r="B17">
        <v>2011</v>
      </c>
      <c r="C17" t="s">
        <v>73</v>
      </c>
      <c r="D17" t="str">
        <f>HYPERLINK("https://ota.tournamentsoftware.com/player-profile/8FD0157D-3A78-4746-95FB-914154A73239", "Link")</f>
        <v>Link</v>
      </c>
      <c r="E17" s="2">
        <v>16992</v>
      </c>
      <c r="F17" s="3">
        <v>4</v>
      </c>
      <c r="G17" t="s">
        <v>29</v>
      </c>
      <c r="H17" t="s">
        <v>74</v>
      </c>
      <c r="I17">
        <v>17.3</v>
      </c>
      <c r="J17" s="3">
        <v>314</v>
      </c>
      <c r="K17" t="s">
        <v>75</v>
      </c>
      <c r="L17" t="s">
        <v>76</v>
      </c>
      <c r="M17" s="4">
        <v>0.72</v>
      </c>
      <c r="N17" s="4">
        <v>0.6</v>
      </c>
    </row>
    <row r="18" spans="1:14" x14ac:dyDescent="0.4">
      <c r="A18">
        <v>17</v>
      </c>
      <c r="B18">
        <v>2011</v>
      </c>
      <c r="C18" t="s">
        <v>77</v>
      </c>
      <c r="D18" t="str">
        <f>HYPERLINK("https://ota.tournamentsoftware.com/player-profile/74E89704-63A8-4068-930C-AC26FB8C7650", "Link")</f>
        <v>Link</v>
      </c>
      <c r="E18" s="2">
        <v>15028.529</v>
      </c>
      <c r="F18" s="3">
        <v>13</v>
      </c>
      <c r="G18" t="s">
        <v>20</v>
      </c>
      <c r="H18" t="s">
        <v>33</v>
      </c>
      <c r="I18">
        <v>20</v>
      </c>
      <c r="J18" s="3">
        <v>357</v>
      </c>
      <c r="K18" t="s">
        <v>78</v>
      </c>
      <c r="L18" t="s">
        <v>79</v>
      </c>
      <c r="M18" s="4">
        <v>0.56999999999999995</v>
      </c>
      <c r="N18" s="4">
        <v>0.75</v>
      </c>
    </row>
    <row r="19" spans="1:14" x14ac:dyDescent="0.4">
      <c r="A19">
        <v>18</v>
      </c>
      <c r="B19">
        <v>2012</v>
      </c>
      <c r="C19" t="s">
        <v>80</v>
      </c>
      <c r="D19" t="str">
        <f>HYPERLINK("https://ota.tournamentsoftware.com/player-profile/3DD5F9FE-D79D-4724-986A-242306325733", "Link")</f>
        <v>Link</v>
      </c>
      <c r="E19" s="2">
        <v>12600</v>
      </c>
      <c r="F19" s="3">
        <v>21</v>
      </c>
      <c r="G19" t="s">
        <v>29</v>
      </c>
      <c r="H19" t="s">
        <v>81</v>
      </c>
      <c r="I19">
        <v>20.7</v>
      </c>
      <c r="J19" s="3">
        <v>338</v>
      </c>
      <c r="K19" t="s">
        <v>82</v>
      </c>
      <c r="L19" t="s">
        <v>83</v>
      </c>
      <c r="M19" s="4">
        <v>0.6</v>
      </c>
      <c r="N19" s="4">
        <v>0.53</v>
      </c>
    </row>
    <row r="20" spans="1:14" x14ac:dyDescent="0.4">
      <c r="A20">
        <v>19</v>
      </c>
      <c r="B20">
        <v>2010</v>
      </c>
      <c r="C20" t="s">
        <v>84</v>
      </c>
      <c r="D20" t="str">
        <f>HYPERLINK("https://ota.tournamentsoftware.com/player-profile/153B3657-482A-4D3B-BD01-8193B323325B", "Link")</f>
        <v>Link</v>
      </c>
      <c r="E20" s="2">
        <v>12500</v>
      </c>
      <c r="F20" s="3">
        <v>17</v>
      </c>
      <c r="G20" t="s">
        <v>25</v>
      </c>
      <c r="H20" t="s">
        <v>85</v>
      </c>
      <c r="I20">
        <v>16.899999999999999</v>
      </c>
      <c r="J20" s="3">
        <v>345</v>
      </c>
      <c r="K20" t="s">
        <v>86</v>
      </c>
      <c r="L20" t="s">
        <v>79</v>
      </c>
      <c r="M20" s="4">
        <v>0.63</v>
      </c>
      <c r="N20" s="4">
        <v>0.75</v>
      </c>
    </row>
    <row r="21" spans="1:14" x14ac:dyDescent="0.4">
      <c r="A21">
        <v>20</v>
      </c>
      <c r="B21">
        <v>2011</v>
      </c>
      <c r="C21" t="s">
        <v>87</v>
      </c>
      <c r="D21" t="str">
        <f>HYPERLINK("https://ota.tournamentsoftware.com/player-profile/0FFA5015-7F06-4925-A02B-12C63A17C369", "Link")</f>
        <v>Link</v>
      </c>
      <c r="E21" s="2">
        <v>12066.56</v>
      </c>
      <c r="F21" s="3">
        <v>4</v>
      </c>
      <c r="G21" t="s">
        <v>29</v>
      </c>
      <c r="H21" t="s">
        <v>88</v>
      </c>
      <c r="I21">
        <v>18</v>
      </c>
      <c r="J21" s="3">
        <v>254</v>
      </c>
      <c r="K21" t="s">
        <v>89</v>
      </c>
      <c r="L21" t="s">
        <v>31</v>
      </c>
      <c r="M21" s="4">
        <v>0.68</v>
      </c>
      <c r="N21" s="4">
        <v>0</v>
      </c>
    </row>
    <row r="22" spans="1:14" x14ac:dyDescent="0.4">
      <c r="A22">
        <v>21</v>
      </c>
      <c r="B22">
        <v>2011</v>
      </c>
      <c r="C22" t="s">
        <v>90</v>
      </c>
      <c r="D22" t="str">
        <f>HYPERLINK("https://ota.tournamentsoftware.com/player-profile/78136E62-EBBA-42B2-9356-069E01D0370F", "Link")</f>
        <v>Link</v>
      </c>
      <c r="E22" s="2">
        <v>11680.281999999999</v>
      </c>
      <c r="F22" s="3">
        <v>11</v>
      </c>
      <c r="G22" t="s">
        <v>29</v>
      </c>
      <c r="H22" t="s">
        <v>91</v>
      </c>
      <c r="I22">
        <v>18.5</v>
      </c>
      <c r="J22" s="3">
        <v>228</v>
      </c>
      <c r="K22" t="s">
        <v>92</v>
      </c>
      <c r="L22" t="s">
        <v>93</v>
      </c>
      <c r="M22" s="4">
        <v>0.79</v>
      </c>
      <c r="N22" s="4">
        <v>0.76</v>
      </c>
    </row>
    <row r="23" spans="1:14" x14ac:dyDescent="0.4">
      <c r="A23">
        <v>22</v>
      </c>
      <c r="B23">
        <v>2010</v>
      </c>
      <c r="C23" t="s">
        <v>94</v>
      </c>
      <c r="D23" t="str">
        <f>HYPERLINK("https://ota.tournamentsoftware.com/player-profile/79DDC172-6D73-4D70-BF84-A29A459C9B5D", "Link")</f>
        <v>Link</v>
      </c>
      <c r="E23" s="2">
        <v>10640</v>
      </c>
      <c r="F23" s="3">
        <v>22</v>
      </c>
      <c r="G23" t="s">
        <v>25</v>
      </c>
      <c r="H23" t="s">
        <v>95</v>
      </c>
      <c r="I23">
        <v>21.1</v>
      </c>
      <c r="J23" s="3">
        <v>483</v>
      </c>
      <c r="K23" t="s">
        <v>96</v>
      </c>
      <c r="L23" t="s">
        <v>97</v>
      </c>
      <c r="M23" s="4">
        <v>0.56999999999999995</v>
      </c>
      <c r="N23" s="4">
        <v>0.55000000000000004</v>
      </c>
    </row>
    <row r="24" spans="1:14" x14ac:dyDescent="0.4">
      <c r="A24">
        <v>23</v>
      </c>
      <c r="B24">
        <v>2012</v>
      </c>
      <c r="C24" t="s">
        <v>98</v>
      </c>
      <c r="D24" t="str">
        <f>HYPERLINK("https://ota.tournamentsoftware.com/player-profile/88442A27-D4CA-4614-86BE-89F6BAFA4C36", "Link")</f>
        <v>Link</v>
      </c>
      <c r="E24" s="2">
        <v>9585.8109999999997</v>
      </c>
      <c r="F24" s="3">
        <v>11</v>
      </c>
      <c r="G24" t="s">
        <v>25</v>
      </c>
      <c r="H24" t="s">
        <v>99</v>
      </c>
      <c r="I24">
        <v>19.2</v>
      </c>
      <c r="J24" s="3">
        <v>304</v>
      </c>
      <c r="K24" t="s">
        <v>100</v>
      </c>
      <c r="L24" t="s">
        <v>101</v>
      </c>
      <c r="M24" s="4">
        <v>0.65</v>
      </c>
      <c r="N24" s="4">
        <v>0.71</v>
      </c>
    </row>
    <row r="25" spans="1:14" x14ac:dyDescent="0.4">
      <c r="A25">
        <v>24</v>
      </c>
      <c r="B25">
        <v>2010</v>
      </c>
      <c r="C25" t="s">
        <v>102</v>
      </c>
      <c r="D25" t="str">
        <f>HYPERLINK("https://ota.tournamentsoftware.com/player-profile/2A2001B6-F89B-4729-BE94-759CC685AB73", "Link")</f>
        <v>Link</v>
      </c>
      <c r="E25" s="2">
        <v>9506.4</v>
      </c>
      <c r="F25" s="3">
        <v>13</v>
      </c>
      <c r="G25" t="s">
        <v>29</v>
      </c>
      <c r="H25" t="s">
        <v>103</v>
      </c>
      <c r="I25">
        <v>18.399999999999999</v>
      </c>
      <c r="J25" s="3">
        <v>377</v>
      </c>
      <c r="K25" t="s">
        <v>104</v>
      </c>
      <c r="L25" t="s">
        <v>50</v>
      </c>
      <c r="M25" s="4">
        <v>0.62</v>
      </c>
      <c r="N25" s="4">
        <v>0.77</v>
      </c>
    </row>
    <row r="26" spans="1:14" x14ac:dyDescent="0.4">
      <c r="A26">
        <v>25</v>
      </c>
      <c r="B26">
        <v>2012</v>
      </c>
      <c r="C26" t="s">
        <v>105</v>
      </c>
      <c r="D26" t="str">
        <f>HYPERLINK("https://ota.tournamentsoftware.com/player-profile/11C037E9-F5E8-42BC-A8A0-6F4982B8329D", "Link")</f>
        <v>Link</v>
      </c>
      <c r="E26" s="2">
        <v>9198.4</v>
      </c>
      <c r="F26" s="3">
        <v>13</v>
      </c>
      <c r="G26" t="s">
        <v>29</v>
      </c>
      <c r="H26" t="s">
        <v>106</v>
      </c>
      <c r="I26">
        <v>18</v>
      </c>
      <c r="J26" s="3">
        <v>31</v>
      </c>
      <c r="K26" t="s">
        <v>107</v>
      </c>
      <c r="L26" t="s">
        <v>31</v>
      </c>
      <c r="M26" s="4">
        <v>0.74</v>
      </c>
      <c r="N26" s="4">
        <v>0</v>
      </c>
    </row>
    <row r="27" spans="1:14" x14ac:dyDescent="0.4">
      <c r="A27">
        <v>26</v>
      </c>
      <c r="B27">
        <v>2012</v>
      </c>
      <c r="C27" t="s">
        <v>108</v>
      </c>
      <c r="D27" t="str">
        <f>HYPERLINK("https://ota.tournamentsoftware.com/player-profile/16758178-BB4B-49F9-847E-3024E74D5A86", "Link")</f>
        <v>Link</v>
      </c>
      <c r="E27" s="2">
        <v>9097.8760000000002</v>
      </c>
      <c r="F27" s="3">
        <v>21</v>
      </c>
      <c r="G27" t="s">
        <v>109</v>
      </c>
      <c r="H27" t="s">
        <v>110</v>
      </c>
      <c r="I27">
        <v>17.8</v>
      </c>
      <c r="J27" s="3">
        <v>348</v>
      </c>
      <c r="K27" t="s">
        <v>111</v>
      </c>
      <c r="L27" t="s">
        <v>112</v>
      </c>
      <c r="M27" s="4">
        <v>0.76</v>
      </c>
      <c r="N27" s="4">
        <v>0.85</v>
      </c>
    </row>
    <row r="28" spans="1:14" x14ac:dyDescent="0.4">
      <c r="A28">
        <v>27</v>
      </c>
      <c r="B28">
        <v>2011</v>
      </c>
      <c r="C28" t="s">
        <v>113</v>
      </c>
      <c r="D28" t="str">
        <f>HYPERLINK("https://ota.tournamentsoftware.com/player-profile/8701C8D5-3E25-4D20-A06D-4E44B7B0B3BC", "Link")</f>
        <v>Link</v>
      </c>
      <c r="E28" s="2">
        <v>8909.6</v>
      </c>
      <c r="F28" s="3">
        <v>22</v>
      </c>
      <c r="G28" t="s">
        <v>29</v>
      </c>
      <c r="H28" t="s">
        <v>88</v>
      </c>
      <c r="I28" t="s">
        <v>48</v>
      </c>
      <c r="J28" s="3">
        <v>371</v>
      </c>
      <c r="K28" t="s">
        <v>114</v>
      </c>
      <c r="L28" t="s">
        <v>115</v>
      </c>
      <c r="M28" s="4">
        <v>0.61</v>
      </c>
      <c r="N28" s="4">
        <v>0.63</v>
      </c>
    </row>
    <row r="29" spans="1:14" x14ac:dyDescent="0.4">
      <c r="A29">
        <v>28</v>
      </c>
      <c r="B29">
        <v>2011</v>
      </c>
      <c r="C29" t="s">
        <v>116</v>
      </c>
      <c r="D29" t="str">
        <f>HYPERLINK("https://ota.tournamentsoftware.com/player-profile/EACE6903-E6C4-41CD-B224-A38307CC8527", "Link")</f>
        <v>Link</v>
      </c>
      <c r="E29" s="2">
        <v>8600</v>
      </c>
      <c r="F29" s="3">
        <v>12</v>
      </c>
      <c r="G29" t="s">
        <v>20</v>
      </c>
      <c r="H29" t="s">
        <v>16</v>
      </c>
      <c r="I29">
        <v>19</v>
      </c>
      <c r="J29" s="3">
        <v>189</v>
      </c>
      <c r="K29" t="s">
        <v>117</v>
      </c>
      <c r="L29" t="s">
        <v>31</v>
      </c>
      <c r="M29" s="4">
        <v>0.52</v>
      </c>
      <c r="N29" s="4">
        <v>0</v>
      </c>
    </row>
    <row r="30" spans="1:14" x14ac:dyDescent="0.4">
      <c r="A30">
        <v>29</v>
      </c>
      <c r="B30">
        <v>2010</v>
      </c>
      <c r="C30" t="s">
        <v>118</v>
      </c>
      <c r="D30" t="str">
        <f>HYPERLINK("https://ota.tournamentsoftware.com/player-profile/40467E6F-FA0A-4F97-A027-D3800CA74CA5", "Link")</f>
        <v>Link</v>
      </c>
      <c r="E30" s="2">
        <v>8537.9619999999995</v>
      </c>
      <c r="F30" s="3">
        <v>14</v>
      </c>
      <c r="G30" t="s">
        <v>29</v>
      </c>
      <c r="H30" t="s">
        <v>16</v>
      </c>
      <c r="I30">
        <v>18.8</v>
      </c>
      <c r="J30" s="3">
        <v>473</v>
      </c>
      <c r="K30" t="s">
        <v>119</v>
      </c>
      <c r="L30" t="s">
        <v>120</v>
      </c>
      <c r="M30" s="4">
        <v>0.55000000000000004</v>
      </c>
      <c r="N30" s="4">
        <v>0.67</v>
      </c>
    </row>
    <row r="31" spans="1:14" x14ac:dyDescent="0.4">
      <c r="A31">
        <v>30</v>
      </c>
      <c r="B31">
        <v>2010</v>
      </c>
      <c r="C31" t="s">
        <v>121</v>
      </c>
      <c r="D31" t="str">
        <f>HYPERLINK("https://ota.tournamentsoftware.com/player-profile/DE64F924-4E87-4E30-9551-48AD2E508002", "Link")</f>
        <v>Link</v>
      </c>
      <c r="E31" s="2">
        <v>8432.5669999999991</v>
      </c>
      <c r="F31" s="3">
        <v>10</v>
      </c>
      <c r="G31" t="s">
        <v>25</v>
      </c>
      <c r="H31" t="s">
        <v>85</v>
      </c>
      <c r="I31">
        <v>17.3</v>
      </c>
      <c r="J31" s="3">
        <v>293</v>
      </c>
      <c r="K31" t="s">
        <v>122</v>
      </c>
      <c r="L31" t="s">
        <v>62</v>
      </c>
      <c r="M31" s="4">
        <v>0.62</v>
      </c>
      <c r="N31" s="4">
        <v>0.79</v>
      </c>
    </row>
    <row r="32" spans="1:14" x14ac:dyDescent="0.4">
      <c r="A32">
        <v>31</v>
      </c>
      <c r="B32">
        <v>2012</v>
      </c>
      <c r="C32" t="s">
        <v>123</v>
      </c>
      <c r="D32" t="str">
        <f>HYPERLINK("https://ota.tournamentsoftware.com/player-profile/4F2575CB-84B4-4072-ABEF-7652A7E74DBA", "Link")</f>
        <v>Link</v>
      </c>
      <c r="E32" s="2">
        <v>8177</v>
      </c>
      <c r="F32" s="3">
        <v>14</v>
      </c>
      <c r="G32" t="s">
        <v>25</v>
      </c>
      <c r="H32" t="s">
        <v>99</v>
      </c>
      <c r="I32">
        <v>20.7</v>
      </c>
      <c r="J32" s="3">
        <v>380</v>
      </c>
      <c r="K32" t="s">
        <v>124</v>
      </c>
      <c r="L32" t="s">
        <v>125</v>
      </c>
      <c r="M32" s="4">
        <v>0.64</v>
      </c>
      <c r="N32" s="4">
        <v>0.79</v>
      </c>
    </row>
    <row r="33" spans="1:14" x14ac:dyDescent="0.4">
      <c r="A33">
        <v>32</v>
      </c>
      <c r="B33">
        <v>2012</v>
      </c>
      <c r="C33" t="s">
        <v>126</v>
      </c>
      <c r="D33" t="str">
        <f>HYPERLINK("https://ota.tournamentsoftware.com/player-profile/CF3F9020-5B8A-4448-8412-B206DFD70D34", "Link")</f>
        <v>Link</v>
      </c>
      <c r="E33" s="2">
        <v>8026.067</v>
      </c>
      <c r="F33" s="3">
        <v>20</v>
      </c>
      <c r="G33" t="s">
        <v>20</v>
      </c>
      <c r="H33" t="s">
        <v>127</v>
      </c>
      <c r="I33">
        <v>20.399999999999999</v>
      </c>
      <c r="J33" s="3">
        <v>272</v>
      </c>
      <c r="K33" t="s">
        <v>128</v>
      </c>
      <c r="L33" t="s">
        <v>129</v>
      </c>
      <c r="M33" s="4">
        <v>0.57999999999999996</v>
      </c>
      <c r="N33" s="4">
        <v>0.68</v>
      </c>
    </row>
    <row r="34" spans="1:14" x14ac:dyDescent="0.4">
      <c r="A34">
        <v>33</v>
      </c>
      <c r="B34">
        <v>2010</v>
      </c>
      <c r="C34" t="s">
        <v>130</v>
      </c>
      <c r="D34" t="str">
        <f>HYPERLINK("https://ota.tournamentsoftware.com/player-profile/7D4DCB52-C15E-4FCB-A849-620607A3D800", "Link")</f>
        <v>Link</v>
      </c>
      <c r="E34" s="2">
        <v>7845.76</v>
      </c>
      <c r="F34" s="3">
        <v>21</v>
      </c>
      <c r="G34" t="s">
        <v>29</v>
      </c>
      <c r="H34" t="s">
        <v>47</v>
      </c>
      <c r="I34">
        <v>22.2</v>
      </c>
      <c r="J34" s="3">
        <v>338</v>
      </c>
      <c r="K34" t="s">
        <v>131</v>
      </c>
      <c r="L34" t="s">
        <v>132</v>
      </c>
      <c r="M34" s="4">
        <v>0.55000000000000004</v>
      </c>
      <c r="N34" s="4">
        <v>0.5</v>
      </c>
    </row>
    <row r="35" spans="1:14" x14ac:dyDescent="0.4">
      <c r="A35">
        <v>34</v>
      </c>
      <c r="B35">
        <v>2011</v>
      </c>
      <c r="C35" t="s">
        <v>133</v>
      </c>
      <c r="D35" t="str">
        <f>HYPERLINK("https://ota.tournamentsoftware.com/player-profile/3669E1F9-5EB5-4D9E-A44B-D747FB924F2A", "Link")</f>
        <v>Link</v>
      </c>
      <c r="E35" s="2">
        <v>7842.17</v>
      </c>
      <c r="F35" s="3">
        <v>19</v>
      </c>
      <c r="G35" t="s">
        <v>29</v>
      </c>
      <c r="H35" t="s">
        <v>70</v>
      </c>
      <c r="I35">
        <v>20.5</v>
      </c>
      <c r="J35" s="3">
        <v>285</v>
      </c>
      <c r="K35" t="s">
        <v>134</v>
      </c>
      <c r="L35" t="s">
        <v>135</v>
      </c>
      <c r="M35" s="4">
        <v>0.53</v>
      </c>
      <c r="N35" s="4">
        <v>0.5</v>
      </c>
    </row>
    <row r="36" spans="1:14" x14ac:dyDescent="0.4">
      <c r="A36">
        <v>35</v>
      </c>
      <c r="B36">
        <v>2011</v>
      </c>
      <c r="C36" t="s">
        <v>136</v>
      </c>
      <c r="D36" t="str">
        <f>HYPERLINK("https://ota.tournamentsoftware.com/player-profile/FC87B801-4F5B-4D6A-B85A-AF9B49B18883", "Link")</f>
        <v>Link</v>
      </c>
      <c r="E36" s="2">
        <v>7600</v>
      </c>
      <c r="F36" s="3">
        <v>16</v>
      </c>
      <c r="G36" t="s">
        <v>25</v>
      </c>
      <c r="H36" t="s">
        <v>137</v>
      </c>
      <c r="I36">
        <v>21.9</v>
      </c>
      <c r="J36" s="3">
        <v>330</v>
      </c>
      <c r="K36" t="s">
        <v>138</v>
      </c>
      <c r="L36" t="s">
        <v>139</v>
      </c>
      <c r="M36" s="4">
        <v>0.59</v>
      </c>
      <c r="N36" s="4">
        <v>0.62</v>
      </c>
    </row>
    <row r="37" spans="1:14" x14ac:dyDescent="0.4">
      <c r="A37">
        <v>36</v>
      </c>
      <c r="B37">
        <v>2012</v>
      </c>
      <c r="C37" t="s">
        <v>140</v>
      </c>
      <c r="D37" t="str">
        <f>HYPERLINK("https://ota.tournamentsoftware.com/player-profile/4DB9D061-D74F-4482-87A3-9C7480D14EFD", "Link")</f>
        <v>Link</v>
      </c>
      <c r="E37" s="2">
        <v>7284.4</v>
      </c>
      <c r="F37" s="3">
        <v>20</v>
      </c>
      <c r="G37" t="s">
        <v>29</v>
      </c>
      <c r="H37" t="s">
        <v>141</v>
      </c>
      <c r="I37">
        <v>20.6</v>
      </c>
      <c r="J37" s="3">
        <v>318</v>
      </c>
      <c r="K37" t="s">
        <v>142</v>
      </c>
      <c r="L37" t="s">
        <v>143</v>
      </c>
      <c r="M37" s="4">
        <v>0.65</v>
      </c>
      <c r="N37" s="4">
        <v>0.69</v>
      </c>
    </row>
    <row r="38" spans="1:14" x14ac:dyDescent="0.4">
      <c r="A38">
        <v>37</v>
      </c>
      <c r="B38">
        <v>2013</v>
      </c>
      <c r="C38" t="s">
        <v>144</v>
      </c>
      <c r="D38" t="str">
        <f>HYPERLINK("https://ota.tournamentsoftware.com/player-profile/C3BB19C9-39F8-4DF4-A576-AAB3D92B85C3", "Link")</f>
        <v>Link</v>
      </c>
      <c r="E38" s="2">
        <v>7178.2939999999999</v>
      </c>
      <c r="F38" s="3">
        <v>13</v>
      </c>
      <c r="G38" t="s">
        <v>29</v>
      </c>
      <c r="H38" t="s">
        <v>145</v>
      </c>
      <c r="I38">
        <v>20.7</v>
      </c>
      <c r="J38" s="3">
        <v>243</v>
      </c>
      <c r="K38" t="s">
        <v>146</v>
      </c>
      <c r="L38" t="s">
        <v>147</v>
      </c>
      <c r="M38" s="4">
        <v>0.65</v>
      </c>
      <c r="N38" s="4">
        <v>0.7</v>
      </c>
    </row>
    <row r="39" spans="1:14" x14ac:dyDescent="0.4">
      <c r="A39">
        <v>38</v>
      </c>
      <c r="B39">
        <v>2013</v>
      </c>
      <c r="C39" t="s">
        <v>148</v>
      </c>
      <c r="D39" t="str">
        <f>HYPERLINK("https://ota.tournamentsoftware.com/player-profile/8DB93BEF-9FF1-4A58-A4CC-C5E09482F693", "Link")</f>
        <v>Link</v>
      </c>
      <c r="E39" s="2">
        <v>6870.0050000000001</v>
      </c>
      <c r="F39" s="3">
        <v>21</v>
      </c>
      <c r="G39" t="s">
        <v>20</v>
      </c>
      <c r="H39" t="s">
        <v>149</v>
      </c>
      <c r="I39">
        <v>20</v>
      </c>
      <c r="J39" s="3">
        <v>240</v>
      </c>
      <c r="K39" t="s">
        <v>150</v>
      </c>
      <c r="L39" t="s">
        <v>151</v>
      </c>
      <c r="M39" s="4">
        <v>0.67</v>
      </c>
      <c r="N39" s="4">
        <v>0.7</v>
      </c>
    </row>
    <row r="40" spans="1:14" x14ac:dyDescent="0.4">
      <c r="A40">
        <v>39</v>
      </c>
      <c r="B40">
        <v>2011</v>
      </c>
      <c r="C40" t="s">
        <v>152</v>
      </c>
      <c r="D40" t="str">
        <f>HYPERLINK("https://ota.tournamentsoftware.com/player-profile/DA17D15A-1BA0-4B6B-A562-97B0CD67D3DA", "Link")</f>
        <v>Link</v>
      </c>
      <c r="E40" s="2">
        <v>6765.4830000000002</v>
      </c>
      <c r="F40" s="3">
        <v>21</v>
      </c>
      <c r="G40" t="s">
        <v>29</v>
      </c>
      <c r="H40" t="s">
        <v>88</v>
      </c>
      <c r="I40">
        <v>22.2</v>
      </c>
      <c r="J40" s="3">
        <v>384</v>
      </c>
      <c r="K40" t="s">
        <v>153</v>
      </c>
      <c r="L40" t="s">
        <v>154</v>
      </c>
      <c r="M40" s="4">
        <v>0.65</v>
      </c>
      <c r="N40" s="4">
        <v>0.56000000000000005</v>
      </c>
    </row>
    <row r="41" spans="1:14" x14ac:dyDescent="0.4">
      <c r="A41">
        <v>40</v>
      </c>
      <c r="B41">
        <v>2012</v>
      </c>
      <c r="C41" t="s">
        <v>155</v>
      </c>
      <c r="D41" t="str">
        <f>HYPERLINK("https://ota.tournamentsoftware.com/player-profile/8E8A2CD5-37E0-4690-A780-846D1895BB0A", "Link")</f>
        <v>Link</v>
      </c>
      <c r="E41" s="2">
        <v>6210.1490000000003</v>
      </c>
      <c r="F41" s="3">
        <v>17</v>
      </c>
      <c r="G41" t="s">
        <v>25</v>
      </c>
      <c r="H41" t="s">
        <v>156</v>
      </c>
      <c r="I41">
        <v>20.399999999999999</v>
      </c>
      <c r="J41" s="3">
        <v>341</v>
      </c>
      <c r="K41" t="s">
        <v>157</v>
      </c>
      <c r="L41" t="s">
        <v>158</v>
      </c>
      <c r="M41" s="4">
        <v>0.66</v>
      </c>
      <c r="N41" s="4">
        <v>0.76</v>
      </c>
    </row>
    <row r="42" spans="1:14" x14ac:dyDescent="0.4">
      <c r="A42">
        <v>41</v>
      </c>
      <c r="B42">
        <v>2012</v>
      </c>
      <c r="C42" t="s">
        <v>159</v>
      </c>
      <c r="D42" t="str">
        <f>HYPERLINK("https://ota.tournamentsoftware.com/player-profile/23508257-17E1-4A1F-A208-90A41A8C5BC8", "Link")</f>
        <v>Link</v>
      </c>
      <c r="E42" s="2">
        <v>6085.7070000000003</v>
      </c>
      <c r="F42" s="3">
        <v>16</v>
      </c>
      <c r="G42" t="s">
        <v>109</v>
      </c>
      <c r="H42" t="s">
        <v>110</v>
      </c>
      <c r="I42">
        <v>20.2</v>
      </c>
      <c r="J42" s="3">
        <v>315</v>
      </c>
      <c r="K42" t="s">
        <v>160</v>
      </c>
      <c r="L42" t="s">
        <v>161</v>
      </c>
      <c r="M42" s="4">
        <v>0.79</v>
      </c>
      <c r="N42" s="4">
        <v>0.89</v>
      </c>
    </row>
    <row r="43" spans="1:14" x14ac:dyDescent="0.4">
      <c r="A43">
        <v>42</v>
      </c>
      <c r="B43">
        <v>2013</v>
      </c>
      <c r="C43" t="s">
        <v>162</v>
      </c>
      <c r="D43" t="str">
        <f>HYPERLINK("https://ota.tournamentsoftware.com/player-profile/F1F29E41-D080-473C-93A3-FEF9F1122EE3", "Link")</f>
        <v>Link</v>
      </c>
      <c r="E43" s="2">
        <v>6019.1289999999999</v>
      </c>
      <c r="F43" s="3">
        <v>16</v>
      </c>
      <c r="G43" t="s">
        <v>29</v>
      </c>
      <c r="H43" t="s">
        <v>163</v>
      </c>
      <c r="I43">
        <v>20.6</v>
      </c>
      <c r="J43" s="3">
        <v>290</v>
      </c>
      <c r="K43" t="s">
        <v>164</v>
      </c>
      <c r="L43" t="s">
        <v>165</v>
      </c>
      <c r="M43" s="4">
        <v>0.65</v>
      </c>
      <c r="N43" s="4">
        <v>0.73</v>
      </c>
    </row>
    <row r="44" spans="1:14" x14ac:dyDescent="0.4">
      <c r="A44">
        <v>43</v>
      </c>
      <c r="B44">
        <v>2010</v>
      </c>
      <c r="C44" t="s">
        <v>166</v>
      </c>
      <c r="D44" t="str">
        <f>HYPERLINK("https://ota.tournamentsoftware.com/player-profile/6C9069BD-1542-48C5-88B2-89965E078B5C", "Link")</f>
        <v>Link</v>
      </c>
      <c r="E44" s="2">
        <v>5980.85</v>
      </c>
      <c r="F44" s="3">
        <v>26</v>
      </c>
      <c r="G44" t="s">
        <v>29</v>
      </c>
      <c r="H44" t="s">
        <v>88</v>
      </c>
      <c r="I44">
        <v>19.399999999999999</v>
      </c>
      <c r="J44" s="3">
        <v>516</v>
      </c>
      <c r="K44" t="s">
        <v>167</v>
      </c>
      <c r="L44" t="s">
        <v>168</v>
      </c>
      <c r="M44" s="4">
        <v>0.56999999999999995</v>
      </c>
      <c r="N44" s="4">
        <v>0.65</v>
      </c>
    </row>
    <row r="45" spans="1:14" x14ac:dyDescent="0.4">
      <c r="A45">
        <v>44</v>
      </c>
      <c r="B45">
        <v>2011</v>
      </c>
      <c r="C45" t="s">
        <v>169</v>
      </c>
      <c r="D45" t="str">
        <f>HYPERLINK("https://ota.tournamentsoftware.com/player-profile/CC934ABF-2735-446C-B997-6A71AE32FE39", "Link")</f>
        <v>Link</v>
      </c>
      <c r="E45" s="2">
        <v>5827.7929999999997</v>
      </c>
      <c r="F45" s="3">
        <v>17</v>
      </c>
      <c r="G45" t="s">
        <v>20</v>
      </c>
      <c r="H45" t="s">
        <v>33</v>
      </c>
      <c r="I45" t="s">
        <v>48</v>
      </c>
      <c r="J45" s="3">
        <v>52</v>
      </c>
      <c r="K45" t="s">
        <v>170</v>
      </c>
      <c r="L45" t="s">
        <v>171</v>
      </c>
      <c r="M45" s="4">
        <v>0.77</v>
      </c>
      <c r="N45" s="4">
        <v>0.68</v>
      </c>
    </row>
    <row r="46" spans="1:14" x14ac:dyDescent="0.4">
      <c r="A46">
        <v>45</v>
      </c>
      <c r="B46">
        <v>2010</v>
      </c>
      <c r="C46" t="s">
        <v>172</v>
      </c>
      <c r="D46" t="str">
        <f>HYPERLINK("https://ota.tournamentsoftware.com/player-profile/19BAD9DE-205C-4877-A1FD-B820C5DB19B7", "Link")</f>
        <v>Link</v>
      </c>
      <c r="E46" s="2">
        <v>5800</v>
      </c>
      <c r="F46" s="3">
        <v>15</v>
      </c>
      <c r="G46" t="s">
        <v>173</v>
      </c>
      <c r="H46" t="s">
        <v>174</v>
      </c>
      <c r="I46">
        <v>21.3</v>
      </c>
      <c r="J46" s="3">
        <v>369</v>
      </c>
      <c r="K46" t="s">
        <v>175</v>
      </c>
      <c r="L46" t="s">
        <v>176</v>
      </c>
      <c r="M46" s="4">
        <v>0.55000000000000004</v>
      </c>
      <c r="N46" s="4">
        <v>0.82</v>
      </c>
    </row>
    <row r="47" spans="1:14" x14ac:dyDescent="0.4">
      <c r="A47">
        <v>46</v>
      </c>
      <c r="B47">
        <v>2013</v>
      </c>
      <c r="C47" t="s">
        <v>177</v>
      </c>
      <c r="D47" t="str">
        <f>HYPERLINK("https://ota.tournamentsoftware.com/player-profile/20590827-22F8-402F-BC87-449928EE4236", "Link")</f>
        <v>Link</v>
      </c>
      <c r="E47" s="2">
        <v>5765.1840000000002</v>
      </c>
      <c r="F47" s="3">
        <v>17</v>
      </c>
      <c r="G47" t="s">
        <v>29</v>
      </c>
      <c r="H47" t="s">
        <v>178</v>
      </c>
      <c r="I47">
        <v>20.2</v>
      </c>
      <c r="J47" s="3">
        <v>257</v>
      </c>
      <c r="K47" t="s">
        <v>179</v>
      </c>
      <c r="L47" t="s">
        <v>180</v>
      </c>
      <c r="M47" s="4">
        <v>0.62</v>
      </c>
      <c r="N47" s="4">
        <v>0.68</v>
      </c>
    </row>
    <row r="48" spans="1:14" x14ac:dyDescent="0.4">
      <c r="A48">
        <v>47</v>
      </c>
      <c r="B48">
        <v>2011</v>
      </c>
      <c r="C48" t="s">
        <v>181</v>
      </c>
      <c r="D48" t="str">
        <f>HYPERLINK("https://ota.tournamentsoftware.com/player-profile/D9CF576F-3FED-4782-9026-6F7AC9D35679", "Link")</f>
        <v>Link</v>
      </c>
      <c r="E48" s="2">
        <v>5554.9049999999997</v>
      </c>
      <c r="F48" s="3">
        <v>7</v>
      </c>
      <c r="G48" t="s">
        <v>25</v>
      </c>
      <c r="H48" t="s">
        <v>182</v>
      </c>
      <c r="I48">
        <v>17.8</v>
      </c>
      <c r="J48" s="3">
        <v>337</v>
      </c>
      <c r="K48" t="s">
        <v>183</v>
      </c>
      <c r="L48" t="s">
        <v>176</v>
      </c>
      <c r="M48" s="4">
        <v>0.61</v>
      </c>
      <c r="N48" s="4">
        <v>0.82</v>
      </c>
    </row>
    <row r="49" spans="1:14" x14ac:dyDescent="0.4">
      <c r="A49">
        <v>48</v>
      </c>
      <c r="B49">
        <v>2011</v>
      </c>
      <c r="C49" t="s">
        <v>184</v>
      </c>
      <c r="D49" t="str">
        <f>HYPERLINK("https://ota.tournamentsoftware.com/player-profile/A494F894-E737-41F5-9359-A8B45F1C1A51", "Link")</f>
        <v>Link</v>
      </c>
      <c r="E49" s="2">
        <v>5464.8</v>
      </c>
      <c r="F49" s="3">
        <v>14</v>
      </c>
      <c r="G49" t="s">
        <v>185</v>
      </c>
      <c r="H49" t="s">
        <v>186</v>
      </c>
      <c r="I49">
        <v>21.9</v>
      </c>
      <c r="J49" s="3">
        <v>364</v>
      </c>
      <c r="K49" t="s">
        <v>187</v>
      </c>
      <c r="L49" t="s">
        <v>72</v>
      </c>
      <c r="M49" s="4">
        <v>0.63</v>
      </c>
      <c r="N49" s="4">
        <v>0.77</v>
      </c>
    </row>
    <row r="50" spans="1:14" x14ac:dyDescent="0.4">
      <c r="A50">
        <v>49</v>
      </c>
      <c r="B50">
        <v>2010</v>
      </c>
      <c r="C50" t="s">
        <v>188</v>
      </c>
      <c r="D50" t="str">
        <f>HYPERLINK("https://ota.tournamentsoftware.com/player-profile/07196135-D001-4127-ABDA-E7CA6DC7F38E", "Link")</f>
        <v>Link</v>
      </c>
      <c r="E50" s="2">
        <v>5462.2479999999996</v>
      </c>
      <c r="F50" s="3">
        <v>18</v>
      </c>
      <c r="G50" t="s">
        <v>25</v>
      </c>
      <c r="H50" t="s">
        <v>99</v>
      </c>
      <c r="I50">
        <v>21.2</v>
      </c>
      <c r="J50" s="3">
        <v>332</v>
      </c>
      <c r="K50" t="s">
        <v>189</v>
      </c>
      <c r="L50" t="s">
        <v>190</v>
      </c>
      <c r="M50" s="4">
        <v>0.55000000000000004</v>
      </c>
      <c r="N50" s="4">
        <v>0.64</v>
      </c>
    </row>
    <row r="51" spans="1:14" x14ac:dyDescent="0.4">
      <c r="A51">
        <v>50</v>
      </c>
      <c r="B51">
        <v>2012</v>
      </c>
      <c r="C51" t="s">
        <v>191</v>
      </c>
      <c r="D51" t="str">
        <f>HYPERLINK("https://ota.tournamentsoftware.com/player-profile/E0ECCDC8-BEA7-4546-BAF7-5DF193FA2378", "Link")</f>
        <v>Link</v>
      </c>
      <c r="E51" s="2">
        <v>5079.4399999999996</v>
      </c>
      <c r="F51" s="3">
        <v>23</v>
      </c>
      <c r="G51" t="s">
        <v>20</v>
      </c>
      <c r="H51" t="s">
        <v>127</v>
      </c>
      <c r="I51">
        <v>22.2</v>
      </c>
      <c r="J51" s="3">
        <v>352</v>
      </c>
      <c r="K51" t="s">
        <v>192</v>
      </c>
      <c r="L51" t="s">
        <v>193</v>
      </c>
      <c r="M51" s="4">
        <v>0.56999999999999995</v>
      </c>
      <c r="N51" s="4">
        <v>0.66</v>
      </c>
    </row>
    <row r="52" spans="1:14" x14ac:dyDescent="0.4">
      <c r="A52">
        <v>51</v>
      </c>
      <c r="B52">
        <v>2012</v>
      </c>
      <c r="C52" t="s">
        <v>194</v>
      </c>
      <c r="D52" t="str">
        <f>HYPERLINK("https://ota.tournamentsoftware.com/player-profile/35C4C9E4-BC47-4EAA-A89B-06AB12C19B49", "Link")</f>
        <v>Link</v>
      </c>
      <c r="E52" s="2">
        <v>4877.6400000000003</v>
      </c>
      <c r="F52" s="3">
        <v>23</v>
      </c>
      <c r="G52" t="s">
        <v>29</v>
      </c>
      <c r="H52" t="s">
        <v>195</v>
      </c>
      <c r="I52">
        <v>20.9</v>
      </c>
      <c r="J52" s="3">
        <v>306</v>
      </c>
      <c r="K52" t="s">
        <v>196</v>
      </c>
      <c r="L52" t="s">
        <v>197</v>
      </c>
      <c r="M52" s="4">
        <v>0.68</v>
      </c>
      <c r="N52" s="4">
        <v>0.63</v>
      </c>
    </row>
    <row r="53" spans="1:14" x14ac:dyDescent="0.4">
      <c r="A53">
        <v>52</v>
      </c>
      <c r="B53">
        <v>2011</v>
      </c>
      <c r="C53" t="s">
        <v>198</v>
      </c>
      <c r="D53" t="str">
        <f>HYPERLINK("https://ota.tournamentsoftware.com/player-profile/A941E3C1-163E-4345-A9FB-A1B696D8D557", "Link")</f>
        <v>Link</v>
      </c>
      <c r="E53" s="2">
        <v>4774.9120000000003</v>
      </c>
      <c r="F53" s="3">
        <v>12</v>
      </c>
      <c r="G53" t="s">
        <v>29</v>
      </c>
      <c r="H53" t="s">
        <v>199</v>
      </c>
      <c r="I53">
        <v>20.7</v>
      </c>
      <c r="J53" s="3">
        <v>280</v>
      </c>
      <c r="K53" t="s">
        <v>200</v>
      </c>
      <c r="L53" t="s">
        <v>201</v>
      </c>
      <c r="M53" s="4">
        <v>0.61</v>
      </c>
      <c r="N53" s="4">
        <v>0.68</v>
      </c>
    </row>
    <row r="54" spans="1:14" x14ac:dyDescent="0.4">
      <c r="A54">
        <v>53</v>
      </c>
      <c r="B54">
        <v>2014</v>
      </c>
      <c r="C54" t="s">
        <v>202</v>
      </c>
      <c r="D54" t="str">
        <f>HYPERLINK("https://ota.tournamentsoftware.com/player-profile/9C661BB4-74A2-44E0-A97C-93470EF4AE2B", "Link")</f>
        <v>Link</v>
      </c>
      <c r="E54" s="2">
        <v>4747.12</v>
      </c>
      <c r="F54" s="3">
        <v>23</v>
      </c>
      <c r="G54" t="s">
        <v>109</v>
      </c>
      <c r="H54" t="s">
        <v>16</v>
      </c>
      <c r="I54">
        <v>23.4</v>
      </c>
      <c r="J54" s="3">
        <v>217</v>
      </c>
      <c r="K54" t="s">
        <v>203</v>
      </c>
      <c r="L54" t="s">
        <v>204</v>
      </c>
      <c r="M54" s="4">
        <v>0.69</v>
      </c>
      <c r="N54" s="4">
        <v>0.84</v>
      </c>
    </row>
    <row r="55" spans="1:14" x14ac:dyDescent="0.4">
      <c r="A55">
        <v>54</v>
      </c>
      <c r="B55">
        <v>2013</v>
      </c>
      <c r="C55" t="s">
        <v>205</v>
      </c>
      <c r="D55" t="str">
        <f>HYPERLINK("https://ota.tournamentsoftware.com/player-profile/C865FA15-1CF7-4628-A8F7-6AB8ED124599", "Link")</f>
        <v>Link</v>
      </c>
      <c r="E55" s="2">
        <v>4700.49</v>
      </c>
      <c r="F55" s="3">
        <v>20</v>
      </c>
      <c r="G55" t="s">
        <v>29</v>
      </c>
      <c r="H55" t="s">
        <v>206</v>
      </c>
      <c r="I55">
        <v>21.5</v>
      </c>
      <c r="J55" s="3">
        <v>342</v>
      </c>
      <c r="K55" t="s">
        <v>207</v>
      </c>
      <c r="L55" t="s">
        <v>208</v>
      </c>
      <c r="M55" s="4">
        <v>0.69</v>
      </c>
      <c r="N55" s="4">
        <v>0.67</v>
      </c>
    </row>
    <row r="56" spans="1:14" x14ac:dyDescent="0.4">
      <c r="A56">
        <v>55</v>
      </c>
      <c r="B56">
        <v>2012</v>
      </c>
      <c r="C56" t="s">
        <v>209</v>
      </c>
      <c r="D56" t="str">
        <f>HYPERLINK("https://ota.tournamentsoftware.com/player-profile/A71836FF-9A71-48AD-96B3-DD39B38970B6", "Link")</f>
        <v>Link</v>
      </c>
      <c r="E56" s="2">
        <v>4462.04</v>
      </c>
      <c r="F56" s="3">
        <v>12</v>
      </c>
      <c r="G56" t="s">
        <v>20</v>
      </c>
      <c r="H56" t="s">
        <v>33</v>
      </c>
      <c r="I56">
        <v>21.2</v>
      </c>
      <c r="J56" s="3">
        <v>402</v>
      </c>
      <c r="K56" t="s">
        <v>210</v>
      </c>
      <c r="L56" t="s">
        <v>211</v>
      </c>
      <c r="M56" s="4">
        <v>0.62</v>
      </c>
      <c r="N56" s="4">
        <v>0.73</v>
      </c>
    </row>
    <row r="57" spans="1:14" x14ac:dyDescent="0.4">
      <c r="A57">
        <v>56</v>
      </c>
      <c r="B57">
        <v>2010</v>
      </c>
      <c r="C57" t="s">
        <v>212</v>
      </c>
      <c r="D57" t="str">
        <f>HYPERLINK("https://ota.tournamentsoftware.com/player-profile/5407E335-F55B-4499-9029-02FF3D023533", "Link")</f>
        <v>Link</v>
      </c>
      <c r="E57" s="2">
        <v>4419.6000000000004</v>
      </c>
      <c r="F57" s="3">
        <v>8</v>
      </c>
      <c r="G57" t="s">
        <v>185</v>
      </c>
      <c r="H57" t="s">
        <v>213</v>
      </c>
      <c r="I57" t="s">
        <v>48</v>
      </c>
      <c r="J57" s="3">
        <v>80</v>
      </c>
      <c r="K57" t="s">
        <v>214</v>
      </c>
      <c r="L57" t="s">
        <v>215</v>
      </c>
      <c r="M57" s="4">
        <v>0.62</v>
      </c>
      <c r="N57" s="4">
        <v>0.72</v>
      </c>
    </row>
    <row r="58" spans="1:14" x14ac:dyDescent="0.4">
      <c r="A58">
        <v>57</v>
      </c>
      <c r="B58">
        <v>2013</v>
      </c>
      <c r="C58" t="s">
        <v>216</v>
      </c>
      <c r="D58" t="str">
        <f>HYPERLINK("https://ota.tournamentsoftware.com/player-profile/3FE8248C-2DBE-46EB-8C24-0AC82A0EC942", "Link")</f>
        <v>Link</v>
      </c>
      <c r="E58" s="2">
        <v>4342.5870000000004</v>
      </c>
      <c r="F58" s="3">
        <v>13</v>
      </c>
      <c r="G58" t="s">
        <v>20</v>
      </c>
      <c r="H58" t="s">
        <v>16</v>
      </c>
      <c r="I58">
        <v>21.3</v>
      </c>
      <c r="J58" s="3">
        <v>221</v>
      </c>
      <c r="K58" t="s">
        <v>217</v>
      </c>
      <c r="L58" t="s">
        <v>218</v>
      </c>
      <c r="M58" s="4">
        <v>0.67</v>
      </c>
      <c r="N58" s="4">
        <v>0.74</v>
      </c>
    </row>
    <row r="59" spans="1:14" x14ac:dyDescent="0.4">
      <c r="A59">
        <v>58</v>
      </c>
      <c r="B59">
        <v>2011</v>
      </c>
      <c r="C59" t="s">
        <v>219</v>
      </c>
      <c r="D59" t="str">
        <f>HYPERLINK("https://ota.tournamentsoftware.com/player-profile/2AC72F74-0598-42E6-8548-827794227A48", "Link")</f>
        <v>Link</v>
      </c>
      <c r="E59" s="2">
        <v>4285.3590000000004</v>
      </c>
      <c r="F59" s="3">
        <v>22</v>
      </c>
      <c r="G59" t="s">
        <v>29</v>
      </c>
      <c r="H59" t="s">
        <v>16</v>
      </c>
      <c r="I59">
        <v>22.7</v>
      </c>
      <c r="J59" s="3">
        <v>260</v>
      </c>
      <c r="K59" t="s">
        <v>220</v>
      </c>
      <c r="L59" t="s">
        <v>221</v>
      </c>
      <c r="M59" s="4">
        <v>0.5</v>
      </c>
      <c r="N59" s="4">
        <v>0.51</v>
      </c>
    </row>
    <row r="60" spans="1:14" x14ac:dyDescent="0.4">
      <c r="A60">
        <v>59</v>
      </c>
      <c r="B60">
        <v>2011</v>
      </c>
      <c r="C60" t="s">
        <v>222</v>
      </c>
      <c r="D60" t="str">
        <f>HYPERLINK("https://ota.tournamentsoftware.com/player-profile/01ABD183-0913-46D9-89D4-EAC51F2F339F", "Link")</f>
        <v>Link</v>
      </c>
      <c r="E60" s="2">
        <v>4246.95</v>
      </c>
      <c r="F60" s="3">
        <v>20</v>
      </c>
      <c r="G60" t="s">
        <v>25</v>
      </c>
      <c r="H60" t="s">
        <v>85</v>
      </c>
      <c r="I60">
        <v>22.7</v>
      </c>
      <c r="J60" s="3">
        <v>450</v>
      </c>
      <c r="K60" t="s">
        <v>223</v>
      </c>
      <c r="L60" t="s">
        <v>224</v>
      </c>
      <c r="M60" s="4">
        <v>0.49</v>
      </c>
      <c r="N60" s="4">
        <v>0.5</v>
      </c>
    </row>
    <row r="61" spans="1:14" x14ac:dyDescent="0.4">
      <c r="A61">
        <v>60</v>
      </c>
      <c r="B61">
        <v>2010</v>
      </c>
      <c r="C61" t="s">
        <v>225</v>
      </c>
      <c r="D61" t="str">
        <f>HYPERLINK("https://ota.tournamentsoftware.com/player-profile/563E7422-C127-41E4-BC37-D45615C05F93", "Link")</f>
        <v>Link</v>
      </c>
      <c r="E61" s="2">
        <v>4218.8720000000003</v>
      </c>
      <c r="F61" s="3">
        <v>15</v>
      </c>
      <c r="G61" t="s">
        <v>20</v>
      </c>
      <c r="H61" t="s">
        <v>226</v>
      </c>
      <c r="I61">
        <v>20.5</v>
      </c>
      <c r="J61" s="3">
        <v>306</v>
      </c>
      <c r="K61" t="s">
        <v>227</v>
      </c>
      <c r="L61" t="s">
        <v>228</v>
      </c>
      <c r="M61" s="4">
        <v>0.61</v>
      </c>
      <c r="N61" s="4">
        <v>0.59</v>
      </c>
    </row>
    <row r="62" spans="1:14" x14ac:dyDescent="0.4">
      <c r="A62">
        <v>61</v>
      </c>
      <c r="B62">
        <v>2011</v>
      </c>
      <c r="C62" t="s">
        <v>229</v>
      </c>
      <c r="D62" t="str">
        <f>HYPERLINK("https://ota.tournamentsoftware.com/player-profile/173F8DEC-85B1-4E08-84EC-8606ADE18C05", "Link")</f>
        <v>Link</v>
      </c>
      <c r="E62" s="2">
        <v>4122.518</v>
      </c>
      <c r="F62" s="3">
        <v>18</v>
      </c>
      <c r="G62" t="s">
        <v>29</v>
      </c>
      <c r="H62" t="s">
        <v>91</v>
      </c>
      <c r="I62">
        <v>21.2</v>
      </c>
      <c r="J62" s="3">
        <v>292</v>
      </c>
      <c r="K62" t="s">
        <v>230</v>
      </c>
      <c r="L62" t="s">
        <v>231</v>
      </c>
      <c r="M62" s="4">
        <v>0.56000000000000005</v>
      </c>
      <c r="N62" s="4">
        <v>0.52</v>
      </c>
    </row>
    <row r="63" spans="1:14" x14ac:dyDescent="0.4">
      <c r="A63">
        <v>62</v>
      </c>
      <c r="B63">
        <v>2010</v>
      </c>
      <c r="C63" t="s">
        <v>232</v>
      </c>
      <c r="D63" t="str">
        <f>HYPERLINK("https://ota.tournamentsoftware.com/player-profile/7BE59A8C-F688-4804-BD50-DA5D617EE29D", "Link")</f>
        <v>Link</v>
      </c>
      <c r="E63" s="2">
        <v>4115.0240000000003</v>
      </c>
      <c r="F63" s="3">
        <v>21</v>
      </c>
      <c r="G63" t="s">
        <v>185</v>
      </c>
      <c r="H63" t="s">
        <v>233</v>
      </c>
      <c r="I63">
        <v>23.4</v>
      </c>
      <c r="J63" s="3">
        <v>236</v>
      </c>
      <c r="K63" t="s">
        <v>234</v>
      </c>
      <c r="L63" t="s">
        <v>235</v>
      </c>
      <c r="M63" s="4">
        <v>0.49</v>
      </c>
      <c r="N63" s="4">
        <v>0.56999999999999995</v>
      </c>
    </row>
    <row r="64" spans="1:14" x14ac:dyDescent="0.4">
      <c r="A64">
        <v>63</v>
      </c>
      <c r="B64">
        <v>2012</v>
      </c>
      <c r="C64" t="s">
        <v>236</v>
      </c>
      <c r="D64" t="str">
        <f>HYPERLINK("https://ota.tournamentsoftware.com/player-profile/A7EF36D6-49FF-4272-A982-22FEC5F0ECCD", "Link")</f>
        <v>Link</v>
      </c>
      <c r="E64" s="2">
        <v>4104.7309999999998</v>
      </c>
      <c r="F64" s="3">
        <v>21</v>
      </c>
      <c r="G64" t="s">
        <v>25</v>
      </c>
      <c r="H64" t="s">
        <v>60</v>
      </c>
      <c r="I64">
        <v>22.4</v>
      </c>
      <c r="J64" s="3">
        <v>310</v>
      </c>
      <c r="K64" t="s">
        <v>237</v>
      </c>
      <c r="L64" t="s">
        <v>238</v>
      </c>
      <c r="M64" s="4">
        <v>0.63</v>
      </c>
      <c r="N64" s="4">
        <v>0.7</v>
      </c>
    </row>
    <row r="65" spans="1:14" x14ac:dyDescent="0.4">
      <c r="A65">
        <v>64</v>
      </c>
      <c r="B65">
        <v>2011</v>
      </c>
      <c r="C65" t="s">
        <v>239</v>
      </c>
      <c r="D65" t="str">
        <f>HYPERLINK("https://ota.tournamentsoftware.com/player-profile/75F70352-D88D-4069-9B1B-8A0D8A0E11F0", "Link")</f>
        <v>Link</v>
      </c>
      <c r="E65" s="2">
        <v>4100.9740000000002</v>
      </c>
      <c r="F65" s="3">
        <v>20</v>
      </c>
      <c r="G65" t="s">
        <v>25</v>
      </c>
      <c r="H65" t="s">
        <v>240</v>
      </c>
      <c r="I65" t="s">
        <v>48</v>
      </c>
      <c r="J65" s="3">
        <v>209</v>
      </c>
      <c r="K65" t="s">
        <v>241</v>
      </c>
      <c r="L65" t="s">
        <v>242</v>
      </c>
      <c r="M65" s="4">
        <v>0.57999999999999996</v>
      </c>
      <c r="N65" s="4">
        <v>0.6</v>
      </c>
    </row>
    <row r="66" spans="1:14" x14ac:dyDescent="0.4">
      <c r="A66">
        <v>65</v>
      </c>
      <c r="B66">
        <v>2010</v>
      </c>
      <c r="C66" t="s">
        <v>243</v>
      </c>
      <c r="D66" t="str">
        <f>HYPERLINK("https://ota.tournamentsoftware.com/player-profile/15E98694-55A6-420D-8A1B-B59F8D5FA223", "Link")</f>
        <v>Link</v>
      </c>
      <c r="E66" s="2">
        <v>4061.5680000000002</v>
      </c>
      <c r="F66" s="3">
        <v>16</v>
      </c>
      <c r="G66" t="s">
        <v>25</v>
      </c>
      <c r="H66" t="s">
        <v>182</v>
      </c>
      <c r="I66">
        <v>22.7</v>
      </c>
      <c r="J66" s="3">
        <v>283</v>
      </c>
      <c r="K66" t="s">
        <v>244</v>
      </c>
      <c r="L66" t="s">
        <v>97</v>
      </c>
      <c r="M66" s="4">
        <v>0.56999999999999995</v>
      </c>
      <c r="N66" s="4">
        <v>0.55000000000000004</v>
      </c>
    </row>
    <row r="67" spans="1:14" x14ac:dyDescent="0.4">
      <c r="A67">
        <v>66</v>
      </c>
      <c r="B67">
        <v>2012</v>
      </c>
      <c r="C67" t="s">
        <v>245</v>
      </c>
      <c r="D67" t="str">
        <f>HYPERLINK("https://ota.tournamentsoftware.com/player-profile/3FF64A25-D930-4C5E-8E36-3F04D7602157", "Link")</f>
        <v>Link</v>
      </c>
      <c r="E67" s="2">
        <v>3977.1860000000001</v>
      </c>
      <c r="F67" s="3">
        <v>16</v>
      </c>
      <c r="G67" t="s">
        <v>25</v>
      </c>
      <c r="H67" t="s">
        <v>16</v>
      </c>
      <c r="I67">
        <v>22.3</v>
      </c>
      <c r="J67" s="3">
        <v>445</v>
      </c>
      <c r="K67" t="s">
        <v>246</v>
      </c>
      <c r="L67" t="s">
        <v>247</v>
      </c>
      <c r="M67" s="4">
        <v>0.56999999999999995</v>
      </c>
      <c r="N67" s="4">
        <v>0.56999999999999995</v>
      </c>
    </row>
    <row r="68" spans="1:14" x14ac:dyDescent="0.4">
      <c r="A68">
        <v>67</v>
      </c>
      <c r="B68">
        <v>2010</v>
      </c>
      <c r="C68" t="s">
        <v>248</v>
      </c>
      <c r="D68" t="str">
        <f>HYPERLINK("https://ota.tournamentsoftware.com/player-profile/4DB6BA5C-9EB9-4647-AFDA-3051284DF463", "Link")</f>
        <v>Link</v>
      </c>
      <c r="E68" s="2">
        <v>3971.6</v>
      </c>
      <c r="F68" s="3">
        <v>16</v>
      </c>
      <c r="G68" t="s">
        <v>20</v>
      </c>
      <c r="H68" t="s">
        <v>16</v>
      </c>
      <c r="I68">
        <v>20.9</v>
      </c>
      <c r="J68" s="3">
        <v>239</v>
      </c>
      <c r="K68" t="s">
        <v>249</v>
      </c>
      <c r="L68" t="s">
        <v>250</v>
      </c>
      <c r="M68" s="4">
        <v>0.67</v>
      </c>
      <c r="N68" s="4">
        <v>0.7</v>
      </c>
    </row>
    <row r="69" spans="1:14" x14ac:dyDescent="0.4">
      <c r="A69">
        <v>68</v>
      </c>
      <c r="B69">
        <v>2012</v>
      </c>
      <c r="C69" t="s">
        <v>251</v>
      </c>
      <c r="D69" t="str">
        <f>HYPERLINK("https://ota.tournamentsoftware.com/player-profile/805BE387-8522-4C5E-A95F-857E21DC38E1", "Link")</f>
        <v>Link</v>
      </c>
      <c r="E69" s="2">
        <v>3960.808</v>
      </c>
      <c r="F69" s="3">
        <v>15</v>
      </c>
      <c r="G69" t="s">
        <v>20</v>
      </c>
      <c r="H69" t="s">
        <v>252</v>
      </c>
      <c r="I69">
        <v>22.3</v>
      </c>
      <c r="J69" s="3">
        <v>300</v>
      </c>
      <c r="K69" t="s">
        <v>253</v>
      </c>
      <c r="L69" t="s">
        <v>254</v>
      </c>
      <c r="M69" s="4">
        <v>0.57999999999999996</v>
      </c>
      <c r="N69" s="4">
        <v>0.61</v>
      </c>
    </row>
    <row r="70" spans="1:14" x14ac:dyDescent="0.4">
      <c r="A70">
        <v>69</v>
      </c>
      <c r="B70">
        <v>2012</v>
      </c>
      <c r="C70" t="s">
        <v>255</v>
      </c>
      <c r="D70" t="str">
        <f>HYPERLINK("https://ota.tournamentsoftware.com/player-profile/3BADD9C6-CD9A-4858-8E91-EA11AA267135", "Link")</f>
        <v>Link</v>
      </c>
      <c r="E70" s="2">
        <v>3863.288</v>
      </c>
      <c r="F70" s="3">
        <v>13</v>
      </c>
      <c r="G70" t="s">
        <v>29</v>
      </c>
      <c r="H70" t="s">
        <v>256</v>
      </c>
      <c r="I70">
        <v>21.5</v>
      </c>
      <c r="J70" s="3">
        <v>258</v>
      </c>
      <c r="K70" t="s">
        <v>257</v>
      </c>
      <c r="L70" t="s">
        <v>258</v>
      </c>
      <c r="M70" s="4">
        <v>0.67</v>
      </c>
      <c r="N70" s="4">
        <v>0.66</v>
      </c>
    </row>
    <row r="71" spans="1:14" x14ac:dyDescent="0.4">
      <c r="A71">
        <v>70</v>
      </c>
      <c r="B71">
        <v>2011</v>
      </c>
      <c r="C71" t="s">
        <v>259</v>
      </c>
      <c r="D71" t="str">
        <f>HYPERLINK("https://ota.tournamentsoftware.com/player-profile/010A4EB3-BDF4-467A-910E-E5556AC2BFD4", "Link")</f>
        <v>Link</v>
      </c>
      <c r="E71" s="2">
        <v>3743.1109999999999</v>
      </c>
      <c r="F71" s="3">
        <v>11</v>
      </c>
      <c r="G71" t="s">
        <v>20</v>
      </c>
      <c r="H71" t="s">
        <v>260</v>
      </c>
      <c r="I71">
        <v>21.2</v>
      </c>
      <c r="J71" s="3">
        <v>358</v>
      </c>
      <c r="K71" t="s">
        <v>261</v>
      </c>
      <c r="L71" t="s">
        <v>262</v>
      </c>
      <c r="M71" s="4">
        <v>0.62</v>
      </c>
      <c r="N71" s="4">
        <v>0.62</v>
      </c>
    </row>
    <row r="72" spans="1:14" x14ac:dyDescent="0.4">
      <c r="A72">
        <v>71</v>
      </c>
      <c r="B72">
        <v>2010</v>
      </c>
      <c r="C72" t="s">
        <v>263</v>
      </c>
      <c r="D72" t="str">
        <f>HYPERLINK("https://ota.tournamentsoftware.com/player-profile/21064329-F78A-4D22-95E5-8F35132F7B2D", "Link")</f>
        <v>Link</v>
      </c>
      <c r="E72" s="2">
        <v>3674.3719999999998</v>
      </c>
      <c r="F72" s="3">
        <v>30</v>
      </c>
      <c r="G72" t="s">
        <v>20</v>
      </c>
      <c r="H72" t="s">
        <v>264</v>
      </c>
      <c r="I72">
        <v>22.7</v>
      </c>
      <c r="J72" s="3">
        <v>191</v>
      </c>
      <c r="K72" t="s">
        <v>265</v>
      </c>
      <c r="L72" t="s">
        <v>266</v>
      </c>
      <c r="M72" s="4">
        <v>0.64</v>
      </c>
      <c r="N72" s="4">
        <v>0.61</v>
      </c>
    </row>
    <row r="73" spans="1:14" x14ac:dyDescent="0.4">
      <c r="A73">
        <v>72</v>
      </c>
      <c r="B73">
        <v>2013</v>
      </c>
      <c r="C73" t="s">
        <v>267</v>
      </c>
      <c r="D73" t="str">
        <f>HYPERLINK("https://ota.tournamentsoftware.com/player-profile/D855A2D9-8E65-4961-858B-62D00F053DDA", "Link")</f>
        <v>Link</v>
      </c>
      <c r="E73" s="2">
        <v>3642.0889999999999</v>
      </c>
      <c r="F73" s="3">
        <v>16</v>
      </c>
      <c r="G73" t="s">
        <v>25</v>
      </c>
      <c r="H73" t="s">
        <v>182</v>
      </c>
      <c r="I73">
        <v>22.5</v>
      </c>
      <c r="J73" s="3">
        <v>265</v>
      </c>
      <c r="K73" t="s">
        <v>268</v>
      </c>
      <c r="L73" t="s">
        <v>269</v>
      </c>
      <c r="M73" s="4">
        <v>0.67</v>
      </c>
      <c r="N73" s="4">
        <v>0.72</v>
      </c>
    </row>
    <row r="74" spans="1:14" x14ac:dyDescent="0.4">
      <c r="A74">
        <v>73</v>
      </c>
      <c r="B74">
        <v>2014</v>
      </c>
      <c r="C74" t="s">
        <v>270</v>
      </c>
      <c r="D74" t="str">
        <f>HYPERLINK("https://ota.tournamentsoftware.com/player-profile/E0E18831-EA34-4F88-BD1F-E79079687846", "Link")</f>
        <v>Link</v>
      </c>
      <c r="E74" s="2">
        <v>3589.518</v>
      </c>
      <c r="F74" s="3">
        <v>12</v>
      </c>
      <c r="G74" t="s">
        <v>15</v>
      </c>
      <c r="H74" t="s">
        <v>271</v>
      </c>
      <c r="I74" t="s">
        <v>48</v>
      </c>
      <c r="J74" s="3">
        <v>250</v>
      </c>
      <c r="K74" t="s">
        <v>272</v>
      </c>
      <c r="L74" t="s">
        <v>273</v>
      </c>
      <c r="M74" s="4">
        <v>0.7</v>
      </c>
      <c r="N74" s="4">
        <v>0.83</v>
      </c>
    </row>
    <row r="75" spans="1:14" x14ac:dyDescent="0.4">
      <c r="A75">
        <v>74</v>
      </c>
      <c r="B75">
        <v>2010</v>
      </c>
      <c r="C75" t="s">
        <v>274</v>
      </c>
      <c r="D75" t="str">
        <f>HYPERLINK("https://ota.tournamentsoftware.com/player-profile/125DEAB7-C9E5-41B4-BAE7-EB113ED4A490", "Link")</f>
        <v>Link</v>
      </c>
      <c r="E75" s="2">
        <v>3557.723</v>
      </c>
      <c r="F75" s="3">
        <v>14</v>
      </c>
      <c r="G75" t="s">
        <v>25</v>
      </c>
      <c r="H75" t="s">
        <v>85</v>
      </c>
      <c r="I75">
        <v>21.5</v>
      </c>
      <c r="J75" s="3">
        <v>447</v>
      </c>
      <c r="K75" t="s">
        <v>275</v>
      </c>
      <c r="L75" t="s">
        <v>31</v>
      </c>
      <c r="M75" s="4">
        <v>0.66</v>
      </c>
      <c r="N75" s="4">
        <v>0</v>
      </c>
    </row>
    <row r="76" spans="1:14" x14ac:dyDescent="0.4">
      <c r="A76">
        <v>75</v>
      </c>
      <c r="B76">
        <v>2012</v>
      </c>
      <c r="C76" t="s">
        <v>276</v>
      </c>
      <c r="D76" t="str">
        <f>HYPERLINK("https://ota.tournamentsoftware.com/player-profile/0645977B-E01D-437B-A80F-04D3BC7B5871", "Link")</f>
        <v>Link</v>
      </c>
      <c r="E76" s="2">
        <v>3377.16</v>
      </c>
      <c r="F76" s="3">
        <v>21</v>
      </c>
      <c r="G76" t="s">
        <v>29</v>
      </c>
      <c r="H76" t="s">
        <v>277</v>
      </c>
      <c r="I76">
        <v>23.7</v>
      </c>
      <c r="J76" s="3">
        <v>251</v>
      </c>
      <c r="K76" t="s">
        <v>278</v>
      </c>
      <c r="L76" t="s">
        <v>279</v>
      </c>
      <c r="M76" s="4">
        <v>0.64</v>
      </c>
      <c r="N76" s="4">
        <v>0.64</v>
      </c>
    </row>
    <row r="77" spans="1:14" x14ac:dyDescent="0.4">
      <c r="A77">
        <v>76</v>
      </c>
      <c r="B77">
        <v>2013</v>
      </c>
      <c r="C77" t="s">
        <v>280</v>
      </c>
      <c r="D77" t="str">
        <f>HYPERLINK("https://ota.tournamentsoftware.com/player-profile/9436679B-ADF6-41C9-A343-AB5B05F342AE", "Link")</f>
        <v>Link</v>
      </c>
      <c r="E77" s="2">
        <v>3359.944</v>
      </c>
      <c r="F77" s="3">
        <v>20</v>
      </c>
      <c r="G77" t="s">
        <v>109</v>
      </c>
      <c r="H77" t="s">
        <v>281</v>
      </c>
      <c r="I77">
        <v>22.9</v>
      </c>
      <c r="J77" s="3">
        <v>347</v>
      </c>
      <c r="K77" t="s">
        <v>282</v>
      </c>
      <c r="L77" t="s">
        <v>283</v>
      </c>
      <c r="M77" s="4">
        <v>0.63</v>
      </c>
      <c r="N77" s="4">
        <v>0.66</v>
      </c>
    </row>
    <row r="78" spans="1:14" x14ac:dyDescent="0.4">
      <c r="A78">
        <v>77</v>
      </c>
      <c r="B78">
        <v>2012</v>
      </c>
      <c r="C78" t="s">
        <v>284</v>
      </c>
      <c r="D78" t="str">
        <f>HYPERLINK("https://ota.tournamentsoftware.com/player-profile/497EB335-7B19-4354-A8BD-7D257EE2CBEF", "Link")</f>
        <v>Link</v>
      </c>
      <c r="E78" s="2">
        <v>3356.8119999999999</v>
      </c>
      <c r="F78" s="3">
        <v>10</v>
      </c>
      <c r="G78" t="s">
        <v>25</v>
      </c>
      <c r="H78" t="s">
        <v>285</v>
      </c>
      <c r="I78">
        <v>22.6</v>
      </c>
      <c r="J78" s="3">
        <v>320</v>
      </c>
      <c r="K78" t="s">
        <v>286</v>
      </c>
      <c r="L78" t="s">
        <v>287</v>
      </c>
      <c r="M78" s="4">
        <v>0.62</v>
      </c>
      <c r="N78" s="4">
        <v>0.8</v>
      </c>
    </row>
    <row r="79" spans="1:14" x14ac:dyDescent="0.4">
      <c r="A79">
        <v>78</v>
      </c>
      <c r="B79">
        <v>2012</v>
      </c>
      <c r="C79" t="s">
        <v>288</v>
      </c>
      <c r="D79" t="str">
        <f>HYPERLINK("https://ota.tournamentsoftware.com/player-profile/7381CFF5-5BA3-457C-9F6C-499D0F36D2DD", "Link")</f>
        <v>Link</v>
      </c>
      <c r="E79" s="2">
        <v>3288</v>
      </c>
      <c r="F79" s="3">
        <v>28</v>
      </c>
      <c r="G79" t="s">
        <v>25</v>
      </c>
      <c r="H79" t="s">
        <v>289</v>
      </c>
      <c r="I79">
        <v>23.6</v>
      </c>
      <c r="J79" s="3">
        <v>384</v>
      </c>
      <c r="K79" t="s">
        <v>290</v>
      </c>
      <c r="L79" t="s">
        <v>291</v>
      </c>
      <c r="M79" s="4">
        <v>0.62</v>
      </c>
      <c r="N79" s="4">
        <v>0.64</v>
      </c>
    </row>
    <row r="80" spans="1:14" x14ac:dyDescent="0.4">
      <c r="A80">
        <v>79</v>
      </c>
      <c r="B80">
        <v>2011</v>
      </c>
      <c r="C80" t="s">
        <v>292</v>
      </c>
      <c r="D80" t="str">
        <f>HYPERLINK("https://ota.tournamentsoftware.com/player-profile/2E43212E-D119-42A0-9723-FAD8EB378CC2", "Link")</f>
        <v>Link</v>
      </c>
      <c r="E80" s="2">
        <v>3280.567</v>
      </c>
      <c r="F80" s="3">
        <v>23</v>
      </c>
      <c r="G80" t="s">
        <v>29</v>
      </c>
      <c r="H80" t="s">
        <v>16</v>
      </c>
      <c r="I80">
        <v>25.3</v>
      </c>
      <c r="J80" s="3">
        <v>319</v>
      </c>
      <c r="K80" t="s">
        <v>293</v>
      </c>
      <c r="L80" t="s">
        <v>294</v>
      </c>
      <c r="M80" s="4">
        <v>0.43</v>
      </c>
      <c r="N80" s="4">
        <v>0.45</v>
      </c>
    </row>
    <row r="81" spans="1:14" x14ac:dyDescent="0.4">
      <c r="A81">
        <v>80</v>
      </c>
      <c r="B81">
        <v>2011</v>
      </c>
      <c r="C81" t="s">
        <v>295</v>
      </c>
      <c r="D81" t="str">
        <f>HYPERLINK("https://ota.tournamentsoftware.com/player-profile/70644F1B-3EC6-4F55-AC75-A9EE5E8CAC90", "Link")</f>
        <v>Link</v>
      </c>
      <c r="E81" s="2">
        <v>3268.1039999999998</v>
      </c>
      <c r="F81" s="3">
        <v>21</v>
      </c>
      <c r="G81" t="s">
        <v>20</v>
      </c>
      <c r="H81" t="s">
        <v>296</v>
      </c>
      <c r="I81">
        <v>21</v>
      </c>
      <c r="J81" s="3">
        <v>349</v>
      </c>
      <c r="K81" t="s">
        <v>297</v>
      </c>
      <c r="L81" t="s">
        <v>298</v>
      </c>
      <c r="M81" s="4">
        <v>0.6</v>
      </c>
      <c r="N81" s="4">
        <v>0.59</v>
      </c>
    </row>
    <row r="82" spans="1:14" x14ac:dyDescent="0.4">
      <c r="A82">
        <v>81</v>
      </c>
      <c r="B82">
        <v>2010</v>
      </c>
      <c r="C82" t="s">
        <v>299</v>
      </c>
      <c r="D82" t="str">
        <f>HYPERLINK("https://ota.tournamentsoftware.com/player-profile/5AF7C272-B98F-401D-8A79-A8FE7D1EB39F", "Link")</f>
        <v>Link</v>
      </c>
      <c r="E82" s="2">
        <v>3200</v>
      </c>
      <c r="F82" s="3">
        <v>16</v>
      </c>
      <c r="G82" t="s">
        <v>29</v>
      </c>
      <c r="H82" t="s">
        <v>16</v>
      </c>
      <c r="I82" t="s">
        <v>48</v>
      </c>
      <c r="J82" s="3">
        <v>227</v>
      </c>
      <c r="K82" t="s">
        <v>300</v>
      </c>
      <c r="L82" t="s">
        <v>76</v>
      </c>
      <c r="M82" s="4">
        <v>0.46</v>
      </c>
      <c r="N82" s="4">
        <v>0.6</v>
      </c>
    </row>
    <row r="83" spans="1:14" x14ac:dyDescent="0.4">
      <c r="A83">
        <v>82</v>
      </c>
      <c r="B83">
        <v>2011</v>
      </c>
      <c r="C83" t="s">
        <v>301</v>
      </c>
      <c r="D83" t="str">
        <f>HYPERLINK("https://ota.tournamentsoftware.com/player-profile/BBA14517-4BE1-446D-9675-F4795489D66A", "Link")</f>
        <v>Link</v>
      </c>
      <c r="E83" s="2">
        <v>3110.154</v>
      </c>
      <c r="F83" s="3">
        <v>19</v>
      </c>
      <c r="G83" t="s">
        <v>20</v>
      </c>
      <c r="H83" t="s">
        <v>43</v>
      </c>
      <c r="I83">
        <v>22</v>
      </c>
      <c r="J83" s="3">
        <v>257</v>
      </c>
      <c r="K83" t="s">
        <v>302</v>
      </c>
      <c r="L83" t="s">
        <v>303</v>
      </c>
      <c r="M83" s="4">
        <v>0.52</v>
      </c>
      <c r="N83" s="4">
        <v>0.52</v>
      </c>
    </row>
    <row r="84" spans="1:14" x14ac:dyDescent="0.4">
      <c r="A84">
        <v>83</v>
      </c>
      <c r="B84">
        <v>2010</v>
      </c>
      <c r="C84" t="s">
        <v>304</v>
      </c>
      <c r="D84" t="str">
        <f>HYPERLINK("https://ota.tournamentsoftware.com/player-profile/FC207792-E12E-4B47-B18E-C2DD1690B43B", "Link")</f>
        <v>Link</v>
      </c>
      <c r="E84" s="2">
        <v>3073.84</v>
      </c>
      <c r="F84" s="3">
        <v>34</v>
      </c>
      <c r="G84" t="s">
        <v>29</v>
      </c>
      <c r="H84" t="s">
        <v>16</v>
      </c>
      <c r="I84">
        <v>21.5</v>
      </c>
      <c r="J84" s="3">
        <v>315</v>
      </c>
      <c r="K84" t="s">
        <v>305</v>
      </c>
      <c r="L84" t="s">
        <v>306</v>
      </c>
      <c r="M84" s="4">
        <v>0.52</v>
      </c>
      <c r="N84" s="4">
        <v>0.52</v>
      </c>
    </row>
    <row r="85" spans="1:14" x14ac:dyDescent="0.4">
      <c r="A85">
        <v>84</v>
      </c>
      <c r="B85">
        <v>2011</v>
      </c>
      <c r="C85" t="s">
        <v>307</v>
      </c>
      <c r="D85" t="str">
        <f>HYPERLINK("https://ota.tournamentsoftware.com/player-profile/D697D240-73AC-4882-9E54-FA1B664CC7B9", "Link")</f>
        <v>Link</v>
      </c>
      <c r="E85" s="2">
        <v>3068.761</v>
      </c>
      <c r="F85" s="3">
        <v>20</v>
      </c>
      <c r="G85" t="s">
        <v>20</v>
      </c>
      <c r="H85" t="s">
        <v>149</v>
      </c>
      <c r="I85">
        <v>23.1</v>
      </c>
      <c r="J85" s="3">
        <v>194</v>
      </c>
      <c r="K85" t="s">
        <v>308</v>
      </c>
      <c r="L85" t="s">
        <v>309</v>
      </c>
      <c r="M85" s="4">
        <v>0.64</v>
      </c>
      <c r="N85" s="4">
        <v>0.56999999999999995</v>
      </c>
    </row>
    <row r="86" spans="1:14" x14ac:dyDescent="0.4">
      <c r="A86">
        <v>85</v>
      </c>
      <c r="B86">
        <v>2011</v>
      </c>
      <c r="C86" t="s">
        <v>310</v>
      </c>
      <c r="D86" t="str">
        <f>HYPERLINK("https://ota.tournamentsoftware.com/player-profile/E77B032A-084C-48AF-85A0-460A756415BD", "Link")</f>
        <v>Link</v>
      </c>
      <c r="E86" s="2">
        <v>3000.24</v>
      </c>
      <c r="F86" s="3">
        <v>33</v>
      </c>
      <c r="G86" t="s">
        <v>25</v>
      </c>
      <c r="H86" t="s">
        <v>311</v>
      </c>
      <c r="I86">
        <v>25.3</v>
      </c>
      <c r="J86" s="3">
        <v>384</v>
      </c>
      <c r="K86" t="s">
        <v>312</v>
      </c>
      <c r="L86" t="s">
        <v>313</v>
      </c>
      <c r="M86" s="4">
        <v>0.5</v>
      </c>
      <c r="N86" s="4">
        <v>0.48</v>
      </c>
    </row>
    <row r="87" spans="1:14" x14ac:dyDescent="0.4">
      <c r="A87">
        <v>86</v>
      </c>
      <c r="B87">
        <v>2010</v>
      </c>
      <c r="C87" t="s">
        <v>314</v>
      </c>
      <c r="D87" t="str">
        <f>HYPERLINK("https://ota.tournamentsoftware.com/player-profile/E6611AE0-C58D-4559-85D2-9B9D81DFF61B", "Link")</f>
        <v>Link</v>
      </c>
      <c r="E87" s="2">
        <v>2881.0030000000002</v>
      </c>
      <c r="F87" s="3">
        <v>19</v>
      </c>
      <c r="G87" t="s">
        <v>109</v>
      </c>
      <c r="H87" t="s">
        <v>110</v>
      </c>
      <c r="I87" t="s">
        <v>48</v>
      </c>
      <c r="J87" s="3">
        <v>226</v>
      </c>
      <c r="K87" t="s">
        <v>315</v>
      </c>
      <c r="L87" t="s">
        <v>316</v>
      </c>
      <c r="M87" s="4">
        <v>0.61</v>
      </c>
      <c r="N87" s="4">
        <v>0.64</v>
      </c>
    </row>
    <row r="88" spans="1:14" x14ac:dyDescent="0.4">
      <c r="A88">
        <v>87</v>
      </c>
      <c r="B88">
        <v>2012</v>
      </c>
      <c r="C88" t="s">
        <v>317</v>
      </c>
      <c r="D88" t="str">
        <f>HYPERLINK("https://ota.tournamentsoftware.com/player-profile/7B752A16-6837-4A5A-AFD8-83F950F37834", "Link")</f>
        <v>Link</v>
      </c>
      <c r="E88" s="2">
        <v>2880.4839999999999</v>
      </c>
      <c r="F88" s="3">
        <v>15</v>
      </c>
      <c r="G88" t="s">
        <v>29</v>
      </c>
      <c r="H88" t="s">
        <v>163</v>
      </c>
      <c r="I88">
        <v>24.5</v>
      </c>
      <c r="J88" s="3">
        <v>329</v>
      </c>
      <c r="K88" t="s">
        <v>318</v>
      </c>
      <c r="L88" t="s">
        <v>319</v>
      </c>
      <c r="M88" s="4">
        <v>0.68</v>
      </c>
      <c r="N88" s="4">
        <v>0.72</v>
      </c>
    </row>
    <row r="89" spans="1:14" x14ac:dyDescent="0.4">
      <c r="A89">
        <v>88</v>
      </c>
      <c r="B89">
        <v>2012</v>
      </c>
      <c r="C89" t="s">
        <v>320</v>
      </c>
      <c r="D89" t="str">
        <f>HYPERLINK("https://ota.tournamentsoftware.com/player-profile/ADAA4094-7084-435C-80A6-9DA79EB19D3F", "Link")</f>
        <v>Link</v>
      </c>
      <c r="E89" s="2">
        <v>2878.56</v>
      </c>
      <c r="F89" s="3">
        <v>16</v>
      </c>
      <c r="G89" t="s">
        <v>109</v>
      </c>
      <c r="H89" t="s">
        <v>110</v>
      </c>
      <c r="I89">
        <v>22.3</v>
      </c>
      <c r="J89" s="3">
        <v>322</v>
      </c>
      <c r="K89" t="s">
        <v>321</v>
      </c>
      <c r="L89" t="s">
        <v>50</v>
      </c>
      <c r="M89" s="4">
        <v>0.6</v>
      </c>
      <c r="N89" s="4">
        <v>0.77</v>
      </c>
    </row>
    <row r="90" spans="1:14" x14ac:dyDescent="0.4">
      <c r="A90">
        <v>89</v>
      </c>
      <c r="B90">
        <v>2010</v>
      </c>
      <c r="C90" t="s">
        <v>322</v>
      </c>
      <c r="D90" t="str">
        <f>HYPERLINK("https://ota.tournamentsoftware.com/player-profile/6DF6E1E6-9715-4F37-B3EA-9C6A9B637151", "Link")</f>
        <v>Link</v>
      </c>
      <c r="E90" s="2">
        <v>2822.9679999999998</v>
      </c>
      <c r="F90" s="3">
        <v>27</v>
      </c>
      <c r="G90" t="s">
        <v>29</v>
      </c>
      <c r="H90" t="s">
        <v>323</v>
      </c>
      <c r="I90">
        <v>24.4</v>
      </c>
      <c r="J90" s="3">
        <v>140</v>
      </c>
      <c r="K90" t="s">
        <v>324</v>
      </c>
      <c r="L90" t="s">
        <v>325</v>
      </c>
      <c r="M90" s="4">
        <v>0.62</v>
      </c>
      <c r="N90" s="4">
        <v>0.73</v>
      </c>
    </row>
    <row r="91" spans="1:14" x14ac:dyDescent="0.4">
      <c r="A91">
        <v>90</v>
      </c>
      <c r="B91">
        <v>2013</v>
      </c>
      <c r="C91" t="s">
        <v>326</v>
      </c>
      <c r="D91" t="str">
        <f>HYPERLINK("https://ota.tournamentsoftware.com/player-profile/88191DA6-771E-497F-B932-CBADA674D329", "Link")</f>
        <v>Link</v>
      </c>
      <c r="E91" s="2">
        <v>2807.223</v>
      </c>
      <c r="F91" s="3">
        <v>23</v>
      </c>
      <c r="G91" t="s">
        <v>29</v>
      </c>
      <c r="H91" t="s">
        <v>145</v>
      </c>
      <c r="I91">
        <v>23.6</v>
      </c>
      <c r="J91" s="3">
        <v>256</v>
      </c>
      <c r="K91" t="s">
        <v>327</v>
      </c>
      <c r="L91" t="s">
        <v>328</v>
      </c>
      <c r="M91" s="4">
        <v>0.55000000000000004</v>
      </c>
      <c r="N91" s="4">
        <v>0.6</v>
      </c>
    </row>
    <row r="92" spans="1:14" x14ac:dyDescent="0.4">
      <c r="A92">
        <v>91</v>
      </c>
      <c r="B92">
        <v>2010</v>
      </c>
      <c r="C92" t="s">
        <v>329</v>
      </c>
      <c r="D92" t="str">
        <f>HYPERLINK("https://ota.tournamentsoftware.com/player-profile/80369326-420A-4F23-9E0E-F8ADD5285F4D", "Link")</f>
        <v>Link</v>
      </c>
      <c r="E92" s="2">
        <v>2802.6309999999999</v>
      </c>
      <c r="F92" s="3">
        <v>16</v>
      </c>
      <c r="G92" t="s">
        <v>109</v>
      </c>
      <c r="H92" t="s">
        <v>110</v>
      </c>
      <c r="I92">
        <v>22.6</v>
      </c>
      <c r="J92" s="3">
        <v>331</v>
      </c>
      <c r="K92" t="s">
        <v>330</v>
      </c>
      <c r="L92" t="s">
        <v>331</v>
      </c>
      <c r="M92" s="4">
        <v>0.52</v>
      </c>
      <c r="N92" s="4">
        <v>0.54</v>
      </c>
    </row>
    <row r="93" spans="1:14" x14ac:dyDescent="0.4">
      <c r="A93">
        <v>92</v>
      </c>
      <c r="B93">
        <v>2011</v>
      </c>
      <c r="C93" t="s">
        <v>332</v>
      </c>
      <c r="D93" t="str">
        <f>HYPERLINK("https://ota.tournamentsoftware.com/player-profile/4618EF35-819C-42B1-BC1C-825D9D0F6726", "Link")</f>
        <v>Link</v>
      </c>
      <c r="E93" s="2">
        <v>2801.2429999999999</v>
      </c>
      <c r="F93" s="3">
        <v>21</v>
      </c>
      <c r="G93" t="s">
        <v>25</v>
      </c>
      <c r="H93" t="s">
        <v>311</v>
      </c>
      <c r="I93">
        <v>23.2</v>
      </c>
      <c r="J93" s="3">
        <v>360</v>
      </c>
      <c r="K93" t="s">
        <v>333</v>
      </c>
      <c r="L93" t="s">
        <v>334</v>
      </c>
      <c r="M93" s="4">
        <v>0.49</v>
      </c>
      <c r="N93" s="4">
        <v>0.6</v>
      </c>
    </row>
    <row r="94" spans="1:14" x14ac:dyDescent="0.4">
      <c r="A94">
        <v>93</v>
      </c>
      <c r="B94">
        <v>2011</v>
      </c>
      <c r="C94" t="s">
        <v>335</v>
      </c>
      <c r="D94" t="str">
        <f>HYPERLINK("https://ota.tournamentsoftware.com/player-profile/F10E781A-5D9B-49A2-9EE6-DDAC58E24D1F", "Link")</f>
        <v>Link</v>
      </c>
      <c r="E94" s="2">
        <v>2800</v>
      </c>
      <c r="F94" s="3">
        <v>4</v>
      </c>
      <c r="G94" t="s">
        <v>29</v>
      </c>
      <c r="H94" t="s">
        <v>70</v>
      </c>
      <c r="I94" t="s">
        <v>48</v>
      </c>
      <c r="J94" s="3">
        <v>0</v>
      </c>
      <c r="K94" t="s">
        <v>31</v>
      </c>
      <c r="L94" t="s">
        <v>31</v>
      </c>
      <c r="M94" s="4">
        <v>0</v>
      </c>
      <c r="N94" s="4">
        <v>0</v>
      </c>
    </row>
    <row r="95" spans="1:14" x14ac:dyDescent="0.4">
      <c r="A95">
        <v>94</v>
      </c>
      <c r="B95">
        <v>2011</v>
      </c>
      <c r="C95" t="s">
        <v>336</v>
      </c>
      <c r="D95" t="str">
        <f>HYPERLINK("https://ota.tournamentsoftware.com/player-profile/04B734DF-5C45-4B9C-A565-CE7C41F051CF", "Link")</f>
        <v>Link</v>
      </c>
      <c r="E95" s="2">
        <v>2644.502</v>
      </c>
      <c r="F95" s="3">
        <v>17</v>
      </c>
      <c r="G95" t="s">
        <v>29</v>
      </c>
      <c r="H95" t="s">
        <v>16</v>
      </c>
      <c r="I95">
        <v>24</v>
      </c>
      <c r="J95" s="3">
        <v>209</v>
      </c>
      <c r="K95" t="s">
        <v>337</v>
      </c>
      <c r="L95" t="s">
        <v>338</v>
      </c>
      <c r="M95" s="4">
        <v>0.62</v>
      </c>
      <c r="N95" s="4">
        <v>0.55000000000000004</v>
      </c>
    </row>
    <row r="96" spans="1:14" x14ac:dyDescent="0.4">
      <c r="A96">
        <v>95</v>
      </c>
      <c r="B96">
        <v>2011</v>
      </c>
      <c r="C96" t="s">
        <v>339</v>
      </c>
      <c r="D96" t="str">
        <f>HYPERLINK("https://ota.tournamentsoftware.com/player-profile/41050B49-B18F-488A-A8D8-56E551B008CC", "Link")</f>
        <v>Link</v>
      </c>
      <c r="E96" s="2">
        <v>2629.8780000000002</v>
      </c>
      <c r="F96" s="3">
        <v>13</v>
      </c>
      <c r="G96" t="s">
        <v>29</v>
      </c>
      <c r="H96" t="s">
        <v>16</v>
      </c>
      <c r="I96">
        <v>24.8</v>
      </c>
      <c r="J96" s="3">
        <v>327</v>
      </c>
      <c r="K96" t="s">
        <v>340</v>
      </c>
      <c r="L96" t="s">
        <v>341</v>
      </c>
      <c r="M96" s="4">
        <v>0.54</v>
      </c>
      <c r="N96" s="4">
        <v>0.4</v>
      </c>
    </row>
    <row r="97" spans="1:14" x14ac:dyDescent="0.4">
      <c r="A97">
        <v>96</v>
      </c>
      <c r="B97">
        <v>2011</v>
      </c>
      <c r="C97" t="s">
        <v>342</v>
      </c>
      <c r="D97" t="str">
        <f>HYPERLINK("https://ota.tournamentsoftware.com/player-profile/0EEA8F65-1BD2-40F3-B077-217C6479B47B", "Link")</f>
        <v>Link</v>
      </c>
      <c r="E97" s="2">
        <v>2496.741</v>
      </c>
      <c r="F97" s="3">
        <v>19</v>
      </c>
      <c r="G97" t="s">
        <v>25</v>
      </c>
      <c r="H97" t="s">
        <v>26</v>
      </c>
      <c r="I97">
        <v>22.8</v>
      </c>
      <c r="J97" s="3">
        <v>327</v>
      </c>
      <c r="K97" t="s">
        <v>343</v>
      </c>
      <c r="L97" t="s">
        <v>344</v>
      </c>
      <c r="M97" s="4">
        <v>0.56000000000000005</v>
      </c>
      <c r="N97" s="4">
        <v>0.56999999999999995</v>
      </c>
    </row>
    <row r="98" spans="1:14" x14ac:dyDescent="0.4">
      <c r="A98">
        <v>97</v>
      </c>
      <c r="B98">
        <v>2012</v>
      </c>
      <c r="C98" t="s">
        <v>345</v>
      </c>
      <c r="D98" t="str">
        <f>HYPERLINK("https://ota.tournamentsoftware.com/player-profile/CECDBF80-C74F-40ED-B426-04CA75BF14C1", "Link")</f>
        <v>Link</v>
      </c>
      <c r="E98" s="2">
        <v>2485.998</v>
      </c>
      <c r="F98" s="3">
        <v>22</v>
      </c>
      <c r="G98" t="s">
        <v>29</v>
      </c>
      <c r="H98" t="s">
        <v>16</v>
      </c>
      <c r="I98">
        <v>25</v>
      </c>
      <c r="J98" s="3">
        <v>270</v>
      </c>
      <c r="K98" t="s">
        <v>346</v>
      </c>
      <c r="L98" t="s">
        <v>347</v>
      </c>
      <c r="M98" s="4">
        <v>0.63</v>
      </c>
      <c r="N98" s="4">
        <v>0.56999999999999995</v>
      </c>
    </row>
    <row r="99" spans="1:14" x14ac:dyDescent="0.4">
      <c r="A99">
        <v>98</v>
      </c>
      <c r="B99">
        <v>2013</v>
      </c>
      <c r="C99" t="s">
        <v>348</v>
      </c>
      <c r="D99" t="str">
        <f>HYPERLINK("https://ota.tournamentsoftware.com/player-profile/B0833DD4-B006-4DA5-A204-F5A1B4F3FABB", "Link")</f>
        <v>Link</v>
      </c>
      <c r="E99" s="2">
        <v>2468.42</v>
      </c>
      <c r="F99" s="3">
        <v>23</v>
      </c>
      <c r="G99" t="s">
        <v>29</v>
      </c>
      <c r="H99" t="s">
        <v>349</v>
      </c>
      <c r="I99">
        <v>24.6</v>
      </c>
      <c r="J99" s="3">
        <v>266</v>
      </c>
      <c r="K99" t="s">
        <v>350</v>
      </c>
      <c r="L99" t="s">
        <v>351</v>
      </c>
      <c r="M99" s="4">
        <v>0.67</v>
      </c>
      <c r="N99" s="4">
        <v>0.71</v>
      </c>
    </row>
    <row r="100" spans="1:14" x14ac:dyDescent="0.4">
      <c r="A100">
        <v>99</v>
      </c>
      <c r="B100">
        <v>2010</v>
      </c>
      <c r="C100" t="s">
        <v>352</v>
      </c>
      <c r="D100" t="str">
        <f>HYPERLINK("https://ota.tournamentsoftware.com/player-profile/2B59A787-EC84-4421-A4A8-D1717518BDAC", "Link")</f>
        <v>Link</v>
      </c>
      <c r="E100" s="2">
        <v>2453.5129999999999</v>
      </c>
      <c r="F100" s="3">
        <v>17</v>
      </c>
      <c r="G100" t="s">
        <v>29</v>
      </c>
      <c r="H100" t="s">
        <v>353</v>
      </c>
      <c r="I100">
        <v>23</v>
      </c>
      <c r="J100" s="3">
        <v>337</v>
      </c>
      <c r="K100" t="s">
        <v>354</v>
      </c>
      <c r="L100" t="s">
        <v>355</v>
      </c>
      <c r="M100" s="4">
        <v>0.41</v>
      </c>
      <c r="N100" s="4">
        <v>0.39</v>
      </c>
    </row>
    <row r="101" spans="1:14" x14ac:dyDescent="0.4">
      <c r="A101">
        <v>100</v>
      </c>
      <c r="B101">
        <v>2013</v>
      </c>
      <c r="C101" t="s">
        <v>356</v>
      </c>
      <c r="D101" t="str">
        <f>HYPERLINK("https://ota.tournamentsoftware.com/player-profile/25605052-7047-4B82-9C15-5D4C8CE7946D", "Link")</f>
        <v>Link</v>
      </c>
      <c r="E101" s="2">
        <v>2442.3609999999999</v>
      </c>
      <c r="F101" s="3">
        <v>15</v>
      </c>
      <c r="G101" t="s">
        <v>29</v>
      </c>
      <c r="H101" t="s">
        <v>357</v>
      </c>
      <c r="I101">
        <v>24.4</v>
      </c>
      <c r="J101" s="3">
        <v>213</v>
      </c>
      <c r="K101" t="s">
        <v>358</v>
      </c>
      <c r="L101" t="s">
        <v>359</v>
      </c>
      <c r="M101" s="4">
        <v>0.59</v>
      </c>
      <c r="N101" s="4">
        <v>0.5</v>
      </c>
    </row>
    <row r="102" spans="1:14" x14ac:dyDescent="0.4">
      <c r="A102">
        <v>101</v>
      </c>
      <c r="B102">
        <v>2011</v>
      </c>
      <c r="C102" t="s">
        <v>360</v>
      </c>
      <c r="D102" t="str">
        <f>HYPERLINK("https://ota.tournamentsoftware.com/player-profile/D761BAB2-CEB9-445D-8BB7-F38FB21966B4", "Link")</f>
        <v>Link</v>
      </c>
      <c r="E102" s="2">
        <v>2428.9119999999998</v>
      </c>
      <c r="F102" s="3">
        <v>19</v>
      </c>
      <c r="G102" t="s">
        <v>109</v>
      </c>
      <c r="H102" t="s">
        <v>110</v>
      </c>
      <c r="I102">
        <v>22.8</v>
      </c>
      <c r="J102" s="3">
        <v>316</v>
      </c>
      <c r="K102" t="s">
        <v>361</v>
      </c>
      <c r="L102" t="s">
        <v>362</v>
      </c>
      <c r="M102" s="4">
        <v>0.57999999999999996</v>
      </c>
      <c r="N102" s="4">
        <v>0.62</v>
      </c>
    </row>
    <row r="103" spans="1:14" x14ac:dyDescent="0.4">
      <c r="A103">
        <v>102</v>
      </c>
      <c r="B103">
        <v>2012</v>
      </c>
      <c r="C103" t="s">
        <v>363</v>
      </c>
      <c r="D103" t="str">
        <f>HYPERLINK("https://ota.tournamentsoftware.com/player-profile/9909D668-CC24-45D1-AD61-DE790BE62029", "Link")</f>
        <v>Link</v>
      </c>
      <c r="E103" s="2">
        <v>2400</v>
      </c>
      <c r="F103" s="3">
        <v>11</v>
      </c>
      <c r="G103" t="s">
        <v>29</v>
      </c>
      <c r="H103" t="s">
        <v>364</v>
      </c>
      <c r="I103">
        <v>26.8</v>
      </c>
      <c r="J103" s="3">
        <v>129</v>
      </c>
      <c r="K103" t="s">
        <v>365</v>
      </c>
      <c r="L103" t="s">
        <v>31</v>
      </c>
      <c r="M103" s="4">
        <v>0.28000000000000003</v>
      </c>
      <c r="N103" s="4">
        <v>0</v>
      </c>
    </row>
    <row r="104" spans="1:14" x14ac:dyDescent="0.4">
      <c r="A104">
        <v>102</v>
      </c>
      <c r="B104">
        <v>2010</v>
      </c>
      <c r="C104" t="s">
        <v>366</v>
      </c>
      <c r="D104" t="str">
        <f>HYPERLINK("https://ota.tournamentsoftware.com/player-profile/BB476B52-C098-4C3C-A131-D2404169E8F3", "Link")</f>
        <v>Link</v>
      </c>
      <c r="E104" s="2">
        <v>2400</v>
      </c>
      <c r="F104" s="3">
        <v>8</v>
      </c>
      <c r="G104" t="s">
        <v>109</v>
      </c>
      <c r="H104" t="s">
        <v>110</v>
      </c>
      <c r="I104">
        <v>22.1</v>
      </c>
      <c r="J104" s="3">
        <v>190</v>
      </c>
      <c r="K104" t="s">
        <v>367</v>
      </c>
      <c r="L104" t="s">
        <v>31</v>
      </c>
      <c r="M104" s="4">
        <v>0.54</v>
      </c>
      <c r="N104" s="4">
        <v>0</v>
      </c>
    </row>
    <row r="105" spans="1:14" x14ac:dyDescent="0.4">
      <c r="A105">
        <v>104</v>
      </c>
      <c r="B105">
        <v>2010</v>
      </c>
      <c r="C105" t="s">
        <v>368</v>
      </c>
      <c r="D105" t="str">
        <f>HYPERLINK("https://ota.tournamentsoftware.com/player-profile/7825E69B-B1C2-4748-B66D-250E551CB59D", "Link")</f>
        <v>Link</v>
      </c>
      <c r="E105" s="2">
        <v>2346.5540000000001</v>
      </c>
      <c r="F105" s="3">
        <v>7</v>
      </c>
      <c r="G105" t="s">
        <v>369</v>
      </c>
      <c r="H105" t="s">
        <v>370</v>
      </c>
      <c r="I105">
        <v>20</v>
      </c>
      <c r="J105" s="3">
        <v>246</v>
      </c>
      <c r="K105" t="s">
        <v>371</v>
      </c>
      <c r="L105" t="s">
        <v>372</v>
      </c>
      <c r="M105" s="4">
        <v>0.72</v>
      </c>
      <c r="N105" s="4">
        <v>0.74</v>
      </c>
    </row>
    <row r="106" spans="1:14" x14ac:dyDescent="0.4">
      <c r="A106">
        <v>105</v>
      </c>
      <c r="B106">
        <v>2012</v>
      </c>
      <c r="C106" t="s">
        <v>373</v>
      </c>
      <c r="D106" t="str">
        <f>HYPERLINK("https://ota.tournamentsoftware.com/player-profile/99B381B6-120A-4EAE-A001-756292C53927", "Link")</f>
        <v>Link</v>
      </c>
      <c r="E106" s="2">
        <v>2328.047</v>
      </c>
      <c r="F106" s="3">
        <v>15</v>
      </c>
      <c r="G106" t="s">
        <v>29</v>
      </c>
      <c r="H106" t="s">
        <v>374</v>
      </c>
      <c r="I106">
        <v>25.2</v>
      </c>
      <c r="J106" s="3">
        <v>221</v>
      </c>
      <c r="K106" t="s">
        <v>375</v>
      </c>
      <c r="L106" t="s">
        <v>376</v>
      </c>
      <c r="M106" s="4">
        <v>0.54</v>
      </c>
      <c r="N106" s="4">
        <v>0.59</v>
      </c>
    </row>
    <row r="107" spans="1:14" x14ac:dyDescent="0.4">
      <c r="A107">
        <v>106</v>
      </c>
      <c r="B107">
        <v>2012</v>
      </c>
      <c r="C107" t="s">
        <v>377</v>
      </c>
      <c r="D107" t="str">
        <f>HYPERLINK("https://ota.tournamentsoftware.com/player-profile/5146AC8F-EF0E-4E7A-A6A0-D65D12E5BF6E", "Link")</f>
        <v>Link</v>
      </c>
      <c r="E107" s="2">
        <v>2308.904</v>
      </c>
      <c r="F107" s="3">
        <v>22</v>
      </c>
      <c r="G107" t="s">
        <v>29</v>
      </c>
      <c r="H107" t="s">
        <v>378</v>
      </c>
      <c r="I107">
        <v>22.1</v>
      </c>
      <c r="J107" s="3">
        <v>212</v>
      </c>
      <c r="K107" t="s">
        <v>379</v>
      </c>
      <c r="L107" t="s">
        <v>298</v>
      </c>
      <c r="M107" s="4">
        <v>0.49</v>
      </c>
      <c r="N107" s="4">
        <v>0.59</v>
      </c>
    </row>
    <row r="108" spans="1:14" x14ac:dyDescent="0.4">
      <c r="A108">
        <v>107</v>
      </c>
      <c r="B108">
        <v>2013</v>
      </c>
      <c r="C108" t="s">
        <v>380</v>
      </c>
      <c r="D108" t="str">
        <f>HYPERLINK("https://ota.tournamentsoftware.com/player-profile/1B8E66F9-8E72-48A5-A280-1ADD14488B21", "Link")</f>
        <v>Link</v>
      </c>
      <c r="E108" s="2">
        <v>2224.5210000000002</v>
      </c>
      <c r="F108" s="3">
        <v>10</v>
      </c>
      <c r="G108" t="s">
        <v>25</v>
      </c>
      <c r="H108" t="s">
        <v>60</v>
      </c>
      <c r="I108">
        <v>22.2</v>
      </c>
      <c r="J108" s="3">
        <v>248</v>
      </c>
      <c r="K108" t="s">
        <v>381</v>
      </c>
      <c r="L108" t="s">
        <v>382</v>
      </c>
      <c r="M108" s="4">
        <v>0.67</v>
      </c>
      <c r="N108" s="4">
        <v>0.65</v>
      </c>
    </row>
    <row r="109" spans="1:14" x14ac:dyDescent="0.4">
      <c r="A109">
        <v>108</v>
      </c>
      <c r="B109">
        <v>2014</v>
      </c>
      <c r="C109" t="s">
        <v>383</v>
      </c>
      <c r="D109" t="str">
        <f>HYPERLINK("https://ota.tournamentsoftware.com/player-profile/AD7F41D2-B208-4518-963D-851BBA4276F4", "Link")</f>
        <v>Link</v>
      </c>
      <c r="E109" s="2">
        <v>2209.8090000000002</v>
      </c>
      <c r="F109" s="3">
        <v>14</v>
      </c>
      <c r="G109" t="s">
        <v>29</v>
      </c>
      <c r="H109" t="s">
        <v>16</v>
      </c>
      <c r="I109">
        <v>24.4</v>
      </c>
      <c r="J109" s="3">
        <v>269</v>
      </c>
      <c r="K109" t="s">
        <v>384</v>
      </c>
      <c r="L109" t="s">
        <v>385</v>
      </c>
      <c r="M109" s="4">
        <v>0.54</v>
      </c>
      <c r="N109" s="4">
        <v>0.8</v>
      </c>
    </row>
    <row r="110" spans="1:14" x14ac:dyDescent="0.4">
      <c r="A110">
        <v>109</v>
      </c>
      <c r="B110">
        <v>2011</v>
      </c>
      <c r="C110" t="s">
        <v>386</v>
      </c>
      <c r="D110" t="str">
        <f>HYPERLINK("https://ota.tournamentsoftware.com/player-profile/8D8B2C9A-150E-4EFE-AC68-BE34514F4329", "Link")</f>
        <v>Link</v>
      </c>
      <c r="E110" s="2">
        <v>2198.7600000000002</v>
      </c>
      <c r="F110" s="3">
        <v>8</v>
      </c>
      <c r="G110" t="s">
        <v>109</v>
      </c>
      <c r="H110" t="s">
        <v>387</v>
      </c>
      <c r="I110">
        <v>20.100000000000001</v>
      </c>
      <c r="J110" s="3">
        <v>57</v>
      </c>
      <c r="K110" t="s">
        <v>388</v>
      </c>
      <c r="L110" t="s">
        <v>389</v>
      </c>
      <c r="M110" s="4">
        <v>0.79</v>
      </c>
      <c r="N110" s="4">
        <v>0.81</v>
      </c>
    </row>
    <row r="111" spans="1:14" x14ac:dyDescent="0.4">
      <c r="A111">
        <v>110</v>
      </c>
      <c r="B111">
        <v>2011</v>
      </c>
      <c r="C111" t="s">
        <v>390</v>
      </c>
      <c r="D111" t="str">
        <f>HYPERLINK("https://ota.tournamentsoftware.com/player-profile/EA177DA7-F5FC-400D-A54D-C046C90B589D", "Link")</f>
        <v>Link</v>
      </c>
      <c r="E111" s="2">
        <v>2141.777</v>
      </c>
      <c r="F111" s="3">
        <v>16</v>
      </c>
      <c r="G111" t="s">
        <v>29</v>
      </c>
      <c r="H111" t="s">
        <v>391</v>
      </c>
      <c r="I111">
        <v>24.9</v>
      </c>
      <c r="J111" s="3">
        <v>326</v>
      </c>
      <c r="K111" t="s">
        <v>392</v>
      </c>
      <c r="L111" t="s">
        <v>376</v>
      </c>
      <c r="M111" s="4">
        <v>0.62</v>
      </c>
      <c r="N111" s="4">
        <v>0.59</v>
      </c>
    </row>
    <row r="112" spans="1:14" x14ac:dyDescent="0.4">
      <c r="A112">
        <v>111</v>
      </c>
      <c r="B112">
        <v>2014</v>
      </c>
      <c r="C112" t="s">
        <v>393</v>
      </c>
      <c r="D112" t="str">
        <f>HYPERLINK("https://ota.tournamentsoftware.com/player-profile/FE6DD2AD-9E29-4128-BE09-D1E88B84D2C8", "Link")</f>
        <v>Link</v>
      </c>
      <c r="E112" s="2">
        <v>2125.7020000000002</v>
      </c>
      <c r="F112" s="3">
        <v>18</v>
      </c>
      <c r="G112" t="s">
        <v>29</v>
      </c>
      <c r="H112" t="s">
        <v>394</v>
      </c>
      <c r="I112">
        <v>25.1</v>
      </c>
      <c r="J112" s="3">
        <v>184</v>
      </c>
      <c r="K112" t="s">
        <v>395</v>
      </c>
      <c r="L112" t="s">
        <v>396</v>
      </c>
      <c r="M112" s="4">
        <v>0.74</v>
      </c>
      <c r="N112" s="4">
        <v>0.72</v>
      </c>
    </row>
    <row r="113" spans="1:14" x14ac:dyDescent="0.4">
      <c r="A113">
        <v>112</v>
      </c>
      <c r="B113">
        <v>2012</v>
      </c>
      <c r="C113" t="s">
        <v>397</v>
      </c>
      <c r="D113" t="str">
        <f>HYPERLINK("https://ota.tournamentsoftware.com/player-profile/3DC26724-8571-4345-A75C-D904297288CB", "Link")</f>
        <v>Link</v>
      </c>
      <c r="E113" s="2">
        <v>2120.817</v>
      </c>
      <c r="F113" s="3">
        <v>25</v>
      </c>
      <c r="G113" t="s">
        <v>29</v>
      </c>
      <c r="H113" t="s">
        <v>163</v>
      </c>
      <c r="I113">
        <v>24</v>
      </c>
      <c r="J113" s="3">
        <v>288</v>
      </c>
      <c r="K113" t="s">
        <v>398</v>
      </c>
      <c r="L113" t="s">
        <v>399</v>
      </c>
      <c r="M113" s="4">
        <v>0.52</v>
      </c>
      <c r="N113" s="4">
        <v>0.57999999999999996</v>
      </c>
    </row>
    <row r="114" spans="1:14" x14ac:dyDescent="0.4">
      <c r="A114">
        <v>113</v>
      </c>
      <c r="B114">
        <v>2014</v>
      </c>
      <c r="C114" t="s">
        <v>400</v>
      </c>
      <c r="D114" t="str">
        <f>HYPERLINK("https://ota.tournamentsoftware.com/player-profile/701ADA13-714A-48E5-B54F-4DB9E25DBDB3", "Link")</f>
        <v>Link</v>
      </c>
      <c r="E114" s="2">
        <v>2111.25</v>
      </c>
      <c r="F114" s="3">
        <v>15</v>
      </c>
      <c r="G114" t="s">
        <v>20</v>
      </c>
      <c r="H114" t="s">
        <v>16</v>
      </c>
      <c r="I114">
        <v>25.2</v>
      </c>
      <c r="J114" s="3">
        <v>223</v>
      </c>
      <c r="K114" t="s">
        <v>401</v>
      </c>
      <c r="L114" t="s">
        <v>402</v>
      </c>
      <c r="M114" s="4">
        <v>0.64</v>
      </c>
      <c r="N114" s="4">
        <v>0.71</v>
      </c>
    </row>
    <row r="115" spans="1:14" x14ac:dyDescent="0.4">
      <c r="A115">
        <v>114</v>
      </c>
      <c r="B115">
        <v>2011</v>
      </c>
      <c r="C115" t="s">
        <v>403</v>
      </c>
      <c r="D115" t="str">
        <f>HYPERLINK("https://ota.tournamentsoftware.com/player-profile/C70B2EC3-68DE-42AA-8D14-593040586876", "Link")</f>
        <v>Link</v>
      </c>
      <c r="E115" s="2">
        <v>2072.8580000000002</v>
      </c>
      <c r="F115" s="3">
        <v>30</v>
      </c>
      <c r="G115" t="s">
        <v>25</v>
      </c>
      <c r="H115" t="s">
        <v>182</v>
      </c>
      <c r="I115">
        <v>24.8</v>
      </c>
      <c r="J115" s="3">
        <v>274</v>
      </c>
      <c r="K115" t="s">
        <v>404</v>
      </c>
      <c r="L115" t="s">
        <v>405</v>
      </c>
      <c r="M115" s="4">
        <v>0.51</v>
      </c>
      <c r="N115" s="4">
        <v>0.54</v>
      </c>
    </row>
    <row r="116" spans="1:14" x14ac:dyDescent="0.4">
      <c r="A116">
        <v>115</v>
      </c>
      <c r="B116">
        <v>2011</v>
      </c>
      <c r="C116" t="s">
        <v>406</v>
      </c>
      <c r="D116" t="str">
        <f>HYPERLINK("https://ota.tournamentsoftware.com/player-profile/6357465D-5589-45D5-A865-7D7B74C95F1F", "Link")</f>
        <v>Link</v>
      </c>
      <c r="E116" s="2">
        <v>2057.366</v>
      </c>
      <c r="F116" s="3">
        <v>21</v>
      </c>
      <c r="G116" t="s">
        <v>29</v>
      </c>
      <c r="H116" t="s">
        <v>394</v>
      </c>
      <c r="I116" t="s">
        <v>48</v>
      </c>
      <c r="J116" s="3">
        <v>279</v>
      </c>
      <c r="K116" t="s">
        <v>407</v>
      </c>
      <c r="L116" t="s">
        <v>408</v>
      </c>
      <c r="M116" s="4">
        <v>0.45</v>
      </c>
      <c r="N116" s="4">
        <v>0.48</v>
      </c>
    </row>
    <row r="117" spans="1:14" x14ac:dyDescent="0.4">
      <c r="A117">
        <v>116</v>
      </c>
      <c r="B117">
        <v>2011</v>
      </c>
      <c r="C117" t="s">
        <v>409</v>
      </c>
      <c r="D117" t="str">
        <f>HYPERLINK("https://ota.tournamentsoftware.com/player-profile/B28A8FAA-56C8-4775-AE69-6D672853E7B6", "Link")</f>
        <v>Link</v>
      </c>
      <c r="E117" s="2">
        <v>2020.6289999999999</v>
      </c>
      <c r="F117" s="3">
        <v>20</v>
      </c>
      <c r="G117" t="s">
        <v>25</v>
      </c>
      <c r="H117" t="s">
        <v>99</v>
      </c>
      <c r="I117">
        <v>23.8</v>
      </c>
      <c r="J117" s="3">
        <v>294</v>
      </c>
      <c r="K117" t="s">
        <v>410</v>
      </c>
      <c r="L117" t="s">
        <v>411</v>
      </c>
      <c r="M117" s="4">
        <v>0.51</v>
      </c>
      <c r="N117" s="4">
        <v>0.62</v>
      </c>
    </row>
    <row r="118" spans="1:14" x14ac:dyDescent="0.4">
      <c r="A118">
        <v>117</v>
      </c>
      <c r="B118">
        <v>2010</v>
      </c>
      <c r="C118" t="s">
        <v>412</v>
      </c>
      <c r="D118" t="str">
        <f>HYPERLINK("https://ota.tournamentsoftware.com/player-profile/2B2C4E06-A808-40E1-B8E1-9504C80B7553", "Link")</f>
        <v>Link</v>
      </c>
      <c r="E118" s="2">
        <v>2014.5909999999999</v>
      </c>
      <c r="F118" s="3">
        <v>11</v>
      </c>
      <c r="G118" t="s">
        <v>20</v>
      </c>
      <c r="H118" t="s">
        <v>21</v>
      </c>
      <c r="I118">
        <v>23.3</v>
      </c>
      <c r="J118" s="3">
        <v>248</v>
      </c>
      <c r="K118" t="s">
        <v>413</v>
      </c>
      <c r="L118" t="s">
        <v>414</v>
      </c>
      <c r="M118" s="4">
        <v>0.51</v>
      </c>
      <c r="N118" s="4">
        <v>0.43</v>
      </c>
    </row>
    <row r="119" spans="1:14" x14ac:dyDescent="0.4">
      <c r="A119">
        <v>118</v>
      </c>
      <c r="B119">
        <v>2010</v>
      </c>
      <c r="C119" t="s">
        <v>415</v>
      </c>
      <c r="D119" t="str">
        <f>HYPERLINK("https://ota.tournamentsoftware.com/player-profile/3ABE7CA6-9B74-43E9-BA72-BF82F7C2190D", "Link")</f>
        <v>Link</v>
      </c>
      <c r="E119" s="2">
        <v>2010.277</v>
      </c>
      <c r="F119" s="3">
        <v>24</v>
      </c>
      <c r="G119" t="s">
        <v>25</v>
      </c>
      <c r="H119" t="s">
        <v>182</v>
      </c>
      <c r="I119">
        <v>24.7</v>
      </c>
      <c r="J119" s="3">
        <v>359</v>
      </c>
      <c r="K119" t="s">
        <v>416</v>
      </c>
      <c r="L119" t="s">
        <v>417</v>
      </c>
      <c r="M119" s="4">
        <v>0.45</v>
      </c>
      <c r="N119" s="4">
        <v>0.64</v>
      </c>
    </row>
    <row r="120" spans="1:14" x14ac:dyDescent="0.4">
      <c r="A120">
        <v>119</v>
      </c>
      <c r="B120">
        <v>2011</v>
      </c>
      <c r="C120" t="s">
        <v>418</v>
      </c>
      <c r="D120" t="str">
        <f>HYPERLINK("https://ota.tournamentsoftware.com/player-profile/DD81DB42-5F11-459C-9619-5A4550937606", "Link")</f>
        <v>Link</v>
      </c>
      <c r="E120" s="2">
        <v>2003.9259999999999</v>
      </c>
      <c r="F120" s="3">
        <v>10</v>
      </c>
      <c r="G120" t="s">
        <v>15</v>
      </c>
      <c r="H120" t="s">
        <v>271</v>
      </c>
      <c r="I120">
        <v>25</v>
      </c>
      <c r="J120" s="3">
        <v>252</v>
      </c>
      <c r="K120" t="s">
        <v>419</v>
      </c>
      <c r="L120" t="s">
        <v>420</v>
      </c>
      <c r="M120" s="4">
        <v>0.52</v>
      </c>
      <c r="N120" s="4">
        <v>0.63</v>
      </c>
    </row>
    <row r="121" spans="1:14" x14ac:dyDescent="0.4">
      <c r="A121">
        <v>120</v>
      </c>
      <c r="B121">
        <v>2011</v>
      </c>
      <c r="C121" t="s">
        <v>421</v>
      </c>
      <c r="D121" t="str">
        <f>HYPERLINK("https://ota.tournamentsoftware.com/player-profile/2F32220A-7A78-4567-8650-E49399115CFE", "Link")</f>
        <v>Link</v>
      </c>
      <c r="E121" s="2">
        <v>1997.3430000000001</v>
      </c>
      <c r="F121" s="3">
        <v>17</v>
      </c>
      <c r="G121" t="s">
        <v>29</v>
      </c>
      <c r="H121" t="s">
        <v>163</v>
      </c>
      <c r="I121">
        <v>24.7</v>
      </c>
      <c r="J121" s="3">
        <v>161</v>
      </c>
      <c r="K121" t="s">
        <v>422</v>
      </c>
      <c r="L121" t="s">
        <v>423</v>
      </c>
      <c r="M121" s="4">
        <v>0.41</v>
      </c>
      <c r="N121" s="4">
        <v>0.57999999999999996</v>
      </c>
    </row>
    <row r="122" spans="1:14" x14ac:dyDescent="0.4">
      <c r="A122">
        <v>121</v>
      </c>
      <c r="B122">
        <v>2014</v>
      </c>
      <c r="C122" t="s">
        <v>424</v>
      </c>
      <c r="D122" t="str">
        <f>HYPERLINK("https://ota.tournamentsoftware.com/player-profile/B0A425C4-2F23-4C29-8447-4FFBF9D90967", "Link")</f>
        <v>Link</v>
      </c>
      <c r="E122" s="2">
        <v>1993.2</v>
      </c>
      <c r="F122" s="3">
        <v>27</v>
      </c>
      <c r="G122" t="s">
        <v>25</v>
      </c>
      <c r="H122" t="s">
        <v>99</v>
      </c>
      <c r="I122">
        <v>25</v>
      </c>
      <c r="J122" s="3">
        <v>193</v>
      </c>
      <c r="K122" t="s">
        <v>425</v>
      </c>
      <c r="L122" t="s">
        <v>426</v>
      </c>
      <c r="M122" s="4">
        <v>0.71</v>
      </c>
      <c r="N122" s="4">
        <v>0.75</v>
      </c>
    </row>
    <row r="123" spans="1:14" x14ac:dyDescent="0.4">
      <c r="A123">
        <v>122</v>
      </c>
      <c r="B123">
        <v>2014</v>
      </c>
      <c r="C123" t="s">
        <v>427</v>
      </c>
      <c r="D123" t="str">
        <f>HYPERLINK("https://ota.tournamentsoftware.com/player-profile/6CAEB488-574A-45E0-B597-01F96FA5C987", "Link")</f>
        <v>Link</v>
      </c>
      <c r="E123" s="2">
        <v>1945.1120000000001</v>
      </c>
      <c r="F123" s="3">
        <v>13</v>
      </c>
      <c r="G123" t="s">
        <v>29</v>
      </c>
      <c r="H123" t="s">
        <v>16</v>
      </c>
      <c r="I123">
        <v>26.9</v>
      </c>
      <c r="J123" s="3">
        <v>207</v>
      </c>
      <c r="K123" t="s">
        <v>428</v>
      </c>
      <c r="L123" t="s">
        <v>429</v>
      </c>
      <c r="M123" s="4">
        <v>0.72</v>
      </c>
      <c r="N123" s="4">
        <v>0.74</v>
      </c>
    </row>
    <row r="124" spans="1:14" x14ac:dyDescent="0.4">
      <c r="A124">
        <v>123</v>
      </c>
      <c r="B124">
        <v>2012</v>
      </c>
      <c r="C124" t="s">
        <v>430</v>
      </c>
      <c r="D124" t="str">
        <f>HYPERLINK("https://ota.tournamentsoftware.com/player-profile/E789F167-880C-4307-840C-31D5E72C32F0", "Link")</f>
        <v>Link</v>
      </c>
      <c r="E124" s="2">
        <v>1923.9359999999999</v>
      </c>
      <c r="F124" s="3">
        <v>2</v>
      </c>
      <c r="G124" t="s">
        <v>25</v>
      </c>
      <c r="H124" t="s">
        <v>431</v>
      </c>
      <c r="I124">
        <v>17.8</v>
      </c>
      <c r="J124" s="3">
        <v>81</v>
      </c>
      <c r="K124" t="s">
        <v>432</v>
      </c>
      <c r="L124" t="s">
        <v>433</v>
      </c>
      <c r="M124" s="4">
        <v>0.74</v>
      </c>
      <c r="N124" s="4">
        <v>0</v>
      </c>
    </row>
    <row r="125" spans="1:14" x14ac:dyDescent="0.4">
      <c r="A125">
        <v>124</v>
      </c>
      <c r="B125">
        <v>2013</v>
      </c>
      <c r="C125" t="s">
        <v>434</v>
      </c>
      <c r="D125" t="str">
        <f>HYPERLINK("https://ota.tournamentsoftware.com/player-profile/09DB8B30-6DCB-4B0E-9241-CA7456F2AD6D", "Link")</f>
        <v>Link</v>
      </c>
      <c r="E125" s="2">
        <v>1922.9059999999999</v>
      </c>
      <c r="F125" s="3">
        <v>14</v>
      </c>
      <c r="G125" t="s">
        <v>435</v>
      </c>
      <c r="H125" t="s">
        <v>436</v>
      </c>
      <c r="I125">
        <v>25.4</v>
      </c>
      <c r="J125" s="3">
        <v>240</v>
      </c>
      <c r="K125" t="s">
        <v>437</v>
      </c>
      <c r="L125" t="s">
        <v>438</v>
      </c>
      <c r="M125" s="4">
        <v>0.57999999999999996</v>
      </c>
      <c r="N125" s="4">
        <v>0.61</v>
      </c>
    </row>
    <row r="126" spans="1:14" x14ac:dyDescent="0.4">
      <c r="A126">
        <v>125</v>
      </c>
      <c r="B126">
        <v>2011</v>
      </c>
      <c r="C126" t="s">
        <v>439</v>
      </c>
      <c r="D126" t="str">
        <f>HYPERLINK("https://ota.tournamentsoftware.com/player-profile/D90AED25-2453-4998-9677-7951D4661414", "Link")</f>
        <v>Link</v>
      </c>
      <c r="E126" s="2">
        <v>1913.807</v>
      </c>
      <c r="F126" s="3">
        <v>14</v>
      </c>
      <c r="G126" t="s">
        <v>109</v>
      </c>
      <c r="H126" t="s">
        <v>440</v>
      </c>
      <c r="I126">
        <v>22.1</v>
      </c>
      <c r="J126" s="3">
        <v>213</v>
      </c>
      <c r="K126" t="s">
        <v>441</v>
      </c>
      <c r="L126" t="s">
        <v>442</v>
      </c>
      <c r="M126" s="4">
        <v>0.64</v>
      </c>
      <c r="N126" s="4">
        <v>0.64</v>
      </c>
    </row>
    <row r="127" spans="1:14" x14ac:dyDescent="0.4">
      <c r="A127">
        <v>126</v>
      </c>
      <c r="B127">
        <v>2011</v>
      </c>
      <c r="C127" t="s">
        <v>443</v>
      </c>
      <c r="D127" t="str">
        <f>HYPERLINK("https://ota.tournamentsoftware.com/player-profile/84639E92-67DC-44D8-BDE6-CAA89D158A5A", "Link")</f>
        <v>Link</v>
      </c>
      <c r="E127" s="2">
        <v>1884</v>
      </c>
      <c r="F127" s="3">
        <v>11</v>
      </c>
      <c r="G127" t="s">
        <v>173</v>
      </c>
      <c r="H127" t="s">
        <v>174</v>
      </c>
      <c r="I127">
        <v>22.6</v>
      </c>
      <c r="J127" s="3">
        <v>284</v>
      </c>
      <c r="K127" t="s">
        <v>444</v>
      </c>
      <c r="L127" t="s">
        <v>445</v>
      </c>
      <c r="M127" s="4">
        <v>0.61</v>
      </c>
      <c r="N127" s="4">
        <v>0.64</v>
      </c>
    </row>
    <row r="128" spans="1:14" x14ac:dyDescent="0.4">
      <c r="A128">
        <v>127</v>
      </c>
      <c r="B128">
        <v>2013</v>
      </c>
      <c r="C128" t="s">
        <v>446</v>
      </c>
      <c r="D128" t="str">
        <f>HYPERLINK("https://ota.tournamentsoftware.com/player-profile/F5E49767-E427-41A0-B6F2-79E8AC4CB7AE", "Link")</f>
        <v>Link</v>
      </c>
      <c r="E128" s="2">
        <v>1842.085</v>
      </c>
      <c r="F128" s="3">
        <v>19</v>
      </c>
      <c r="G128" t="s">
        <v>25</v>
      </c>
      <c r="H128" t="s">
        <v>26</v>
      </c>
      <c r="I128">
        <v>25.1</v>
      </c>
      <c r="J128" s="3">
        <v>228</v>
      </c>
      <c r="K128" t="s">
        <v>447</v>
      </c>
      <c r="L128" t="s">
        <v>448</v>
      </c>
      <c r="M128" s="4">
        <v>0.69</v>
      </c>
      <c r="N128" s="4">
        <v>0.63</v>
      </c>
    </row>
    <row r="129" spans="1:14" x14ac:dyDescent="0.4">
      <c r="A129">
        <v>128</v>
      </c>
      <c r="B129">
        <v>2011</v>
      </c>
      <c r="C129" t="s">
        <v>449</v>
      </c>
      <c r="D129" t="str">
        <f>HYPERLINK("https://ota.tournamentsoftware.com/player-profile/BBC63394-023E-4713-BC1E-6162C114133F", "Link")</f>
        <v>Link</v>
      </c>
      <c r="E129" s="2">
        <v>1810.596</v>
      </c>
      <c r="F129" s="3">
        <v>14</v>
      </c>
      <c r="G129" t="s">
        <v>25</v>
      </c>
      <c r="H129" t="s">
        <v>60</v>
      </c>
      <c r="I129">
        <v>23.8</v>
      </c>
      <c r="J129" s="3">
        <v>162</v>
      </c>
      <c r="K129" t="s">
        <v>450</v>
      </c>
      <c r="L129" t="s">
        <v>451</v>
      </c>
      <c r="M129" s="4">
        <v>0.56999999999999995</v>
      </c>
      <c r="N129" s="4">
        <v>0.6</v>
      </c>
    </row>
    <row r="130" spans="1:14" x14ac:dyDescent="0.4">
      <c r="A130">
        <v>129</v>
      </c>
      <c r="B130">
        <v>2014</v>
      </c>
      <c r="C130" t="s">
        <v>452</v>
      </c>
      <c r="D130" t="str">
        <f>HYPERLINK("https://ota.tournamentsoftware.com/player-profile/3ED01243-78C8-4179-A634-27E1B1E8443A", "Link")</f>
        <v>Link</v>
      </c>
      <c r="E130" s="2">
        <v>1804.2829999999999</v>
      </c>
      <c r="F130" s="3">
        <v>13</v>
      </c>
      <c r="G130" t="s">
        <v>29</v>
      </c>
      <c r="H130" t="s">
        <v>453</v>
      </c>
      <c r="I130">
        <v>24.8</v>
      </c>
      <c r="J130" s="3">
        <v>221</v>
      </c>
      <c r="K130" t="s">
        <v>454</v>
      </c>
      <c r="L130" t="s">
        <v>325</v>
      </c>
      <c r="M130" s="4">
        <v>0.62</v>
      </c>
      <c r="N130" s="4">
        <v>0.73</v>
      </c>
    </row>
    <row r="131" spans="1:14" x14ac:dyDescent="0.4">
      <c r="A131">
        <v>130</v>
      </c>
      <c r="B131">
        <v>2012</v>
      </c>
      <c r="C131" t="s">
        <v>455</v>
      </c>
      <c r="D131" t="str">
        <f>HYPERLINK("https://ota.tournamentsoftware.com/player-profile/CEB4A334-7BA1-4478-96B0-66580448520A", "Link")</f>
        <v>Link</v>
      </c>
      <c r="E131" s="2">
        <v>1798.0229999999999</v>
      </c>
      <c r="F131" s="3">
        <v>17</v>
      </c>
      <c r="G131" t="s">
        <v>29</v>
      </c>
      <c r="H131" t="s">
        <v>145</v>
      </c>
      <c r="I131">
        <v>24.2</v>
      </c>
      <c r="J131" s="3">
        <v>175</v>
      </c>
      <c r="K131" t="s">
        <v>456</v>
      </c>
      <c r="L131" t="s">
        <v>376</v>
      </c>
      <c r="M131" s="4">
        <v>0.53</v>
      </c>
      <c r="N131" s="4">
        <v>0.59</v>
      </c>
    </row>
    <row r="132" spans="1:14" x14ac:dyDescent="0.4">
      <c r="A132">
        <v>131</v>
      </c>
      <c r="B132">
        <v>2011</v>
      </c>
      <c r="C132" t="s">
        <v>457</v>
      </c>
      <c r="D132" t="str">
        <f>HYPERLINK("https://ota.tournamentsoftware.com/player-profile/5202073E-7387-4002-8885-4E3293347BF0", "Link")</f>
        <v>Link</v>
      </c>
      <c r="E132" s="2">
        <v>1782.152</v>
      </c>
      <c r="F132" s="3">
        <v>15</v>
      </c>
      <c r="G132" t="s">
        <v>29</v>
      </c>
      <c r="H132" t="s">
        <v>458</v>
      </c>
      <c r="I132">
        <v>26.7</v>
      </c>
      <c r="J132" s="3">
        <v>266</v>
      </c>
      <c r="K132" t="s">
        <v>459</v>
      </c>
      <c r="L132" t="s">
        <v>451</v>
      </c>
      <c r="M132" s="4">
        <v>0.55000000000000004</v>
      </c>
      <c r="N132" s="4">
        <v>0.6</v>
      </c>
    </row>
    <row r="133" spans="1:14" x14ac:dyDescent="0.4">
      <c r="A133">
        <v>132</v>
      </c>
      <c r="B133">
        <v>2010</v>
      </c>
      <c r="C133" t="s">
        <v>460</v>
      </c>
      <c r="D133" t="str">
        <f>HYPERLINK("https://ota.tournamentsoftware.com/player-profile/1978D145-977D-4004-98E8-42633CC55B15", "Link")</f>
        <v>Link</v>
      </c>
      <c r="E133" s="2">
        <v>1763.99</v>
      </c>
      <c r="F133" s="3">
        <v>23</v>
      </c>
      <c r="G133" t="s">
        <v>109</v>
      </c>
      <c r="H133" t="s">
        <v>110</v>
      </c>
      <c r="I133">
        <v>24.7</v>
      </c>
      <c r="J133" s="3">
        <v>275</v>
      </c>
      <c r="K133" t="s">
        <v>461</v>
      </c>
      <c r="L133" t="s">
        <v>462</v>
      </c>
      <c r="M133" s="4">
        <v>0.47</v>
      </c>
      <c r="N133" s="4">
        <v>0.44</v>
      </c>
    </row>
    <row r="134" spans="1:14" x14ac:dyDescent="0.4">
      <c r="A134">
        <v>133</v>
      </c>
      <c r="B134">
        <v>2012</v>
      </c>
      <c r="C134" t="s">
        <v>463</v>
      </c>
      <c r="D134" t="str">
        <f>HYPERLINK("https://ota.tournamentsoftware.com/player-profile/75F31A41-BD9F-46AC-A064-06ECE54741E7", "Link")</f>
        <v>Link</v>
      </c>
      <c r="E134" s="2">
        <v>1760.5519999999999</v>
      </c>
      <c r="F134" s="3">
        <v>14</v>
      </c>
      <c r="G134" t="s">
        <v>29</v>
      </c>
      <c r="H134" t="s">
        <v>141</v>
      </c>
      <c r="I134">
        <v>28.2</v>
      </c>
      <c r="J134" s="3">
        <v>158</v>
      </c>
      <c r="K134" t="s">
        <v>464</v>
      </c>
      <c r="L134" t="s">
        <v>465</v>
      </c>
      <c r="M134" s="4">
        <v>0.37</v>
      </c>
      <c r="N134" s="4">
        <v>0.33</v>
      </c>
    </row>
    <row r="135" spans="1:14" x14ac:dyDescent="0.4">
      <c r="A135">
        <v>134</v>
      </c>
      <c r="B135">
        <v>2012</v>
      </c>
      <c r="C135" t="s">
        <v>466</v>
      </c>
      <c r="D135" t="str">
        <f>HYPERLINK("https://ota.tournamentsoftware.com/player-profile/2F075CB1-8090-4588-823C-59BF58DDDA64", "Link")</f>
        <v>Link</v>
      </c>
      <c r="E135" s="2">
        <v>1747.4870000000001</v>
      </c>
      <c r="F135" s="3">
        <v>7</v>
      </c>
      <c r="G135" t="s">
        <v>20</v>
      </c>
      <c r="H135" t="s">
        <v>467</v>
      </c>
      <c r="I135" t="s">
        <v>48</v>
      </c>
      <c r="J135" s="3">
        <v>35</v>
      </c>
      <c r="K135" t="s">
        <v>468</v>
      </c>
      <c r="L135" t="s">
        <v>469</v>
      </c>
      <c r="M135" s="4">
        <v>0.6</v>
      </c>
      <c r="N135" s="4">
        <v>0.62</v>
      </c>
    </row>
    <row r="136" spans="1:14" x14ac:dyDescent="0.4">
      <c r="A136">
        <v>135</v>
      </c>
      <c r="B136">
        <v>2013</v>
      </c>
      <c r="C136" t="s">
        <v>470</v>
      </c>
      <c r="D136" t="str">
        <f>HYPERLINK("https://ota.tournamentsoftware.com/player-profile/7C02D882-BDA0-4F5A-9586-AF17737417F7", "Link")</f>
        <v>Link</v>
      </c>
      <c r="E136" s="2">
        <v>1744</v>
      </c>
      <c r="F136" s="3">
        <v>26</v>
      </c>
      <c r="G136" t="s">
        <v>29</v>
      </c>
      <c r="H136" t="s">
        <v>471</v>
      </c>
      <c r="I136">
        <v>27.4</v>
      </c>
      <c r="J136" s="3">
        <v>270</v>
      </c>
      <c r="K136" t="s">
        <v>472</v>
      </c>
      <c r="L136" t="s">
        <v>190</v>
      </c>
      <c r="M136" s="4">
        <v>0.62</v>
      </c>
      <c r="N136" s="4">
        <v>0.64</v>
      </c>
    </row>
    <row r="137" spans="1:14" x14ac:dyDescent="0.4">
      <c r="A137">
        <v>136</v>
      </c>
      <c r="B137">
        <v>2011</v>
      </c>
      <c r="C137" t="s">
        <v>473</v>
      </c>
      <c r="D137" t="str">
        <f>HYPERLINK("https://ota.tournamentsoftware.com/player-profile/439F8EE8-44DF-4625-B59E-DB07FE2E7984", "Link")</f>
        <v>Link</v>
      </c>
      <c r="E137" s="2">
        <v>1737.155</v>
      </c>
      <c r="F137" s="3">
        <v>14</v>
      </c>
      <c r="G137" t="s">
        <v>29</v>
      </c>
      <c r="H137" t="s">
        <v>141</v>
      </c>
      <c r="I137">
        <v>26.8</v>
      </c>
      <c r="J137" s="3">
        <v>228</v>
      </c>
      <c r="K137" t="s">
        <v>474</v>
      </c>
      <c r="L137" t="s">
        <v>475</v>
      </c>
      <c r="M137" s="4">
        <v>0.53</v>
      </c>
      <c r="N137" s="4">
        <v>0.38</v>
      </c>
    </row>
    <row r="138" spans="1:14" x14ac:dyDescent="0.4">
      <c r="A138">
        <v>137</v>
      </c>
      <c r="B138">
        <v>2010</v>
      </c>
      <c r="C138" t="s">
        <v>476</v>
      </c>
      <c r="D138" t="str">
        <f>HYPERLINK("https://ota.tournamentsoftware.com/player-profile/7C52DD9B-02D0-4263-9810-B78567E36DDE", "Link")</f>
        <v>Link</v>
      </c>
      <c r="E138" s="2">
        <v>1731.546</v>
      </c>
      <c r="F138" s="3">
        <v>12</v>
      </c>
      <c r="G138" t="s">
        <v>25</v>
      </c>
      <c r="H138" t="s">
        <v>477</v>
      </c>
      <c r="I138">
        <v>23.7</v>
      </c>
      <c r="J138" s="3">
        <v>222</v>
      </c>
      <c r="K138" t="s">
        <v>478</v>
      </c>
      <c r="L138" t="s">
        <v>479</v>
      </c>
      <c r="M138" s="4">
        <v>0.56000000000000005</v>
      </c>
      <c r="N138" s="4">
        <v>0.57999999999999996</v>
      </c>
    </row>
    <row r="139" spans="1:14" x14ac:dyDescent="0.4">
      <c r="A139">
        <v>138</v>
      </c>
      <c r="B139">
        <v>2013</v>
      </c>
      <c r="C139" t="s">
        <v>480</v>
      </c>
      <c r="D139" t="str">
        <f>HYPERLINK("https://ota.tournamentsoftware.com/player-profile/BBD49A71-6CAE-4AC7-908B-9DB5263DA715", "Link")</f>
        <v>Link</v>
      </c>
      <c r="E139" s="2">
        <v>1714.8</v>
      </c>
      <c r="F139" s="3">
        <v>13</v>
      </c>
      <c r="G139" t="s">
        <v>173</v>
      </c>
      <c r="H139" t="s">
        <v>174</v>
      </c>
      <c r="I139">
        <v>26.1</v>
      </c>
      <c r="J139" s="3">
        <v>288</v>
      </c>
      <c r="K139" t="s">
        <v>481</v>
      </c>
      <c r="L139" t="s">
        <v>482</v>
      </c>
      <c r="M139" s="4">
        <v>0.67</v>
      </c>
      <c r="N139" s="4">
        <v>0.72</v>
      </c>
    </row>
    <row r="140" spans="1:14" x14ac:dyDescent="0.4">
      <c r="A140">
        <v>139</v>
      </c>
      <c r="B140">
        <v>2010</v>
      </c>
      <c r="C140" t="s">
        <v>483</v>
      </c>
      <c r="D140" t="str">
        <f>HYPERLINK("https://ota.tournamentsoftware.com/player-profile/1D1372F4-C64E-4543-82F1-28D8F8015ECD", "Link")</f>
        <v>Link</v>
      </c>
      <c r="E140" s="2">
        <v>1688.3109999999999</v>
      </c>
      <c r="F140" s="3">
        <v>15</v>
      </c>
      <c r="G140" t="s">
        <v>29</v>
      </c>
      <c r="H140" t="s">
        <v>484</v>
      </c>
      <c r="I140">
        <v>26.4</v>
      </c>
      <c r="J140" s="3">
        <v>169</v>
      </c>
      <c r="K140" t="s">
        <v>485</v>
      </c>
      <c r="L140" t="s">
        <v>486</v>
      </c>
      <c r="M140" s="4">
        <v>0.56999999999999995</v>
      </c>
      <c r="N140" s="4">
        <v>0.57999999999999996</v>
      </c>
    </row>
    <row r="141" spans="1:14" x14ac:dyDescent="0.4">
      <c r="A141">
        <v>140</v>
      </c>
      <c r="B141">
        <v>2013</v>
      </c>
      <c r="C141" t="s">
        <v>487</v>
      </c>
      <c r="D141" t="str">
        <f>HYPERLINK("https://ota.tournamentsoftware.com/player-profile/081CD41C-A9E4-4340-A239-2D92F6639919", "Link")</f>
        <v>Link</v>
      </c>
      <c r="E141" s="2">
        <v>1681.279</v>
      </c>
      <c r="F141" s="3">
        <v>13</v>
      </c>
      <c r="G141" t="s">
        <v>20</v>
      </c>
      <c r="H141" t="s">
        <v>127</v>
      </c>
      <c r="I141">
        <v>24.3</v>
      </c>
      <c r="J141" s="3">
        <v>248</v>
      </c>
      <c r="K141" t="s">
        <v>488</v>
      </c>
      <c r="L141" t="s">
        <v>489</v>
      </c>
      <c r="M141" s="4">
        <v>0.64</v>
      </c>
      <c r="N141" s="4">
        <v>0.46</v>
      </c>
    </row>
    <row r="142" spans="1:14" x14ac:dyDescent="0.4">
      <c r="A142">
        <v>141</v>
      </c>
      <c r="B142">
        <v>2014</v>
      </c>
      <c r="C142" t="s">
        <v>490</v>
      </c>
      <c r="D142" t="str">
        <f>HYPERLINK("https://ota.tournamentsoftware.com/player-profile/2037E4D8-F8CE-4A2B-858E-7FBBA84F2BC7", "Link")</f>
        <v>Link</v>
      </c>
      <c r="E142" s="2">
        <v>1674.0840000000001</v>
      </c>
      <c r="F142" s="3">
        <v>18</v>
      </c>
      <c r="G142" t="s">
        <v>25</v>
      </c>
      <c r="H142" t="s">
        <v>137</v>
      </c>
      <c r="I142">
        <v>25.9</v>
      </c>
      <c r="J142" s="3">
        <v>164</v>
      </c>
      <c r="K142" t="s">
        <v>491</v>
      </c>
      <c r="L142" t="s">
        <v>492</v>
      </c>
      <c r="M142" s="4">
        <v>0.64</v>
      </c>
      <c r="N142" s="4">
        <v>0.64</v>
      </c>
    </row>
    <row r="143" spans="1:14" x14ac:dyDescent="0.4">
      <c r="A143">
        <v>142</v>
      </c>
      <c r="B143">
        <v>2011</v>
      </c>
      <c r="C143" t="s">
        <v>493</v>
      </c>
      <c r="D143" t="str">
        <f>HYPERLINK("https://ota.tournamentsoftware.com/player-profile/BEA49BFF-845D-46BE-AFE3-DBA6E5A66C94", "Link")</f>
        <v>Link</v>
      </c>
      <c r="E143" s="2">
        <v>1659.546</v>
      </c>
      <c r="F143" s="3">
        <v>5</v>
      </c>
      <c r="G143" t="s">
        <v>435</v>
      </c>
      <c r="H143" t="s">
        <v>16</v>
      </c>
      <c r="I143">
        <v>20.9</v>
      </c>
      <c r="J143" s="3">
        <v>304</v>
      </c>
      <c r="K143" t="s">
        <v>494</v>
      </c>
      <c r="L143" t="s">
        <v>495</v>
      </c>
      <c r="M143" s="4">
        <v>0.64</v>
      </c>
      <c r="N143" s="4">
        <v>0.69</v>
      </c>
    </row>
    <row r="144" spans="1:14" x14ac:dyDescent="0.4">
      <c r="A144">
        <v>143</v>
      </c>
      <c r="B144">
        <v>2011</v>
      </c>
      <c r="C144" t="s">
        <v>496</v>
      </c>
      <c r="D144" t="str">
        <f>HYPERLINK("https://ota.tournamentsoftware.com/player-profile/C531F296-9311-4174-9C14-C7E4E9523DF7", "Link")</f>
        <v>Link</v>
      </c>
      <c r="E144" s="2">
        <v>1657.5409999999999</v>
      </c>
      <c r="F144" s="3">
        <v>12</v>
      </c>
      <c r="G144" t="s">
        <v>497</v>
      </c>
      <c r="H144" t="s">
        <v>498</v>
      </c>
      <c r="I144">
        <v>27.3</v>
      </c>
      <c r="J144" s="3">
        <v>203</v>
      </c>
      <c r="K144" t="s">
        <v>499</v>
      </c>
      <c r="L144" t="s">
        <v>500</v>
      </c>
      <c r="M144" s="4">
        <v>0.56000000000000005</v>
      </c>
      <c r="N144" s="4">
        <v>0.66</v>
      </c>
    </row>
    <row r="145" spans="1:14" x14ac:dyDescent="0.4">
      <c r="A145">
        <v>144</v>
      </c>
      <c r="B145">
        <v>2011</v>
      </c>
      <c r="C145" t="s">
        <v>501</v>
      </c>
      <c r="D145" t="str">
        <f>HYPERLINK("https://ota.tournamentsoftware.com/player-profile/A7AFEFB7-9A46-47A9-8567-223D8A45AA1A", "Link")</f>
        <v>Link</v>
      </c>
      <c r="E145" s="2">
        <v>1633.9259999999999</v>
      </c>
      <c r="F145" s="3">
        <v>19</v>
      </c>
      <c r="G145" t="s">
        <v>29</v>
      </c>
      <c r="H145" t="s">
        <v>16</v>
      </c>
      <c r="I145">
        <v>25.6</v>
      </c>
      <c r="J145" s="3">
        <v>174</v>
      </c>
      <c r="K145" t="s">
        <v>502</v>
      </c>
      <c r="L145" t="s">
        <v>503</v>
      </c>
      <c r="M145" s="4">
        <v>0.49</v>
      </c>
      <c r="N145" s="4">
        <v>0.44</v>
      </c>
    </row>
    <row r="146" spans="1:14" x14ac:dyDescent="0.4">
      <c r="A146">
        <v>145</v>
      </c>
      <c r="B146">
        <v>2010</v>
      </c>
      <c r="C146" t="s">
        <v>504</v>
      </c>
      <c r="D146" t="str">
        <f>HYPERLINK("https://ota.tournamentsoftware.com/player-profile/0F53A578-FFE8-4939-9F18-0E27A7AA28F9", "Link")</f>
        <v>Link</v>
      </c>
      <c r="E146" s="2">
        <v>1614.902</v>
      </c>
      <c r="F146" s="3">
        <v>17</v>
      </c>
      <c r="G146" t="s">
        <v>29</v>
      </c>
      <c r="H146" t="s">
        <v>199</v>
      </c>
      <c r="I146">
        <v>24.9</v>
      </c>
      <c r="J146" s="3">
        <v>281</v>
      </c>
      <c r="K146" t="s">
        <v>505</v>
      </c>
      <c r="L146" t="s">
        <v>506</v>
      </c>
      <c r="M146" s="4">
        <v>0.54</v>
      </c>
      <c r="N146" s="4">
        <v>0.69</v>
      </c>
    </row>
    <row r="147" spans="1:14" x14ac:dyDescent="0.4">
      <c r="A147">
        <v>146</v>
      </c>
      <c r="B147">
        <v>2013</v>
      </c>
      <c r="C147" t="s">
        <v>507</v>
      </c>
      <c r="D147" t="str">
        <f>HYPERLINK("https://ota.tournamentsoftware.com/player-profile/C202F0BA-61C5-459D-993A-2D56C17C2B04", "Link")</f>
        <v>Link</v>
      </c>
      <c r="E147" s="2">
        <v>1612.81</v>
      </c>
      <c r="F147" s="3">
        <v>22</v>
      </c>
      <c r="G147" t="s">
        <v>29</v>
      </c>
      <c r="H147" t="s">
        <v>471</v>
      </c>
      <c r="I147">
        <v>26.5</v>
      </c>
      <c r="J147" s="3">
        <v>256</v>
      </c>
      <c r="K147" t="s">
        <v>508</v>
      </c>
      <c r="L147" t="s">
        <v>509</v>
      </c>
      <c r="M147" s="4">
        <v>0.71</v>
      </c>
      <c r="N147" s="4">
        <v>0.55000000000000004</v>
      </c>
    </row>
    <row r="148" spans="1:14" x14ac:dyDescent="0.4">
      <c r="A148">
        <v>147</v>
      </c>
      <c r="B148">
        <v>2010</v>
      </c>
      <c r="C148" t="s">
        <v>510</v>
      </c>
      <c r="D148" t="str">
        <f>HYPERLINK("https://ota.tournamentsoftware.com/player-profile/18C6367E-2FEE-483B-BDC7-4BF7345492D2", "Link")</f>
        <v>Link</v>
      </c>
      <c r="E148" s="2">
        <v>1592.5740000000001</v>
      </c>
      <c r="F148" s="3">
        <v>15</v>
      </c>
      <c r="G148" t="s">
        <v>29</v>
      </c>
      <c r="H148" t="s">
        <v>16</v>
      </c>
      <c r="I148">
        <v>25.9</v>
      </c>
      <c r="J148" s="3">
        <v>246</v>
      </c>
      <c r="K148" t="s">
        <v>511</v>
      </c>
      <c r="L148" t="s">
        <v>359</v>
      </c>
      <c r="M148" s="4">
        <v>0.44</v>
      </c>
      <c r="N148" s="4">
        <v>0.5</v>
      </c>
    </row>
    <row r="149" spans="1:14" x14ac:dyDescent="0.4">
      <c r="A149">
        <v>148</v>
      </c>
      <c r="B149">
        <v>2012</v>
      </c>
      <c r="C149" t="s">
        <v>512</v>
      </c>
      <c r="D149" t="str">
        <f>HYPERLINK("https://ota.tournamentsoftware.com/player-profile/CFED81F9-9EA3-48DF-84C4-507456D5D68B", "Link")</f>
        <v>Link</v>
      </c>
      <c r="E149" s="2">
        <v>1580.8130000000001</v>
      </c>
      <c r="F149" s="3">
        <v>18</v>
      </c>
      <c r="G149" t="s">
        <v>29</v>
      </c>
      <c r="H149" t="s">
        <v>256</v>
      </c>
      <c r="I149">
        <v>27.4</v>
      </c>
      <c r="J149" s="3">
        <v>189</v>
      </c>
      <c r="K149" t="s">
        <v>513</v>
      </c>
      <c r="L149" t="s">
        <v>514</v>
      </c>
      <c r="M149" s="4">
        <v>0.43</v>
      </c>
      <c r="N149" s="4">
        <v>0.32</v>
      </c>
    </row>
    <row r="150" spans="1:14" x14ac:dyDescent="0.4">
      <c r="A150">
        <v>149</v>
      </c>
      <c r="B150">
        <v>2011</v>
      </c>
      <c r="C150" t="s">
        <v>515</v>
      </c>
      <c r="D150" t="str">
        <f>HYPERLINK("https://ota.tournamentsoftware.com/player-profile/5AA20A0D-734E-4AD8-B7A5-8D6B51234B56", "Link")</f>
        <v>Link</v>
      </c>
      <c r="E150" s="2">
        <v>1580.2149999999999</v>
      </c>
      <c r="F150" s="3">
        <v>19</v>
      </c>
      <c r="G150" t="s">
        <v>20</v>
      </c>
      <c r="H150" t="s">
        <v>16</v>
      </c>
      <c r="I150" t="s">
        <v>48</v>
      </c>
      <c r="J150" s="3">
        <v>195</v>
      </c>
      <c r="K150" t="s">
        <v>516</v>
      </c>
      <c r="L150" t="s">
        <v>517</v>
      </c>
      <c r="M150" s="4">
        <v>0.57999999999999996</v>
      </c>
      <c r="N150" s="4">
        <v>0.38</v>
      </c>
    </row>
    <row r="151" spans="1:14" x14ac:dyDescent="0.4">
      <c r="A151">
        <v>150</v>
      </c>
      <c r="B151">
        <v>2011</v>
      </c>
      <c r="C151" t="s">
        <v>518</v>
      </c>
      <c r="D151" t="str">
        <f>HYPERLINK("https://ota.tournamentsoftware.com/player-profile/6BF8E8F5-51A5-4288-B9F9-6FE4D225CB2C", "Link")</f>
        <v>Link</v>
      </c>
      <c r="E151" s="2">
        <v>1574.3050000000001</v>
      </c>
      <c r="F151" s="3">
        <v>19</v>
      </c>
      <c r="G151" t="s">
        <v>29</v>
      </c>
      <c r="H151" t="s">
        <v>519</v>
      </c>
      <c r="I151">
        <v>25.9</v>
      </c>
      <c r="J151" s="3">
        <v>287</v>
      </c>
      <c r="K151" t="s">
        <v>520</v>
      </c>
      <c r="L151" t="s">
        <v>420</v>
      </c>
      <c r="M151" s="4">
        <v>0.63</v>
      </c>
      <c r="N151" s="4">
        <v>0.63</v>
      </c>
    </row>
    <row r="152" spans="1:14" x14ac:dyDescent="0.4">
      <c r="A152">
        <v>151</v>
      </c>
      <c r="B152">
        <v>2011</v>
      </c>
      <c r="C152" t="s">
        <v>521</v>
      </c>
      <c r="D152" t="str">
        <f>HYPERLINK("https://ota.tournamentsoftware.com/player-profile/BBEEA800-CE4D-42B0-9CC5-9E70A82F8AA7", "Link")</f>
        <v>Link</v>
      </c>
      <c r="E152" s="2">
        <v>1569.6569999999999</v>
      </c>
      <c r="F152" s="3">
        <v>5</v>
      </c>
      <c r="G152" t="s">
        <v>25</v>
      </c>
      <c r="H152" t="s">
        <v>182</v>
      </c>
      <c r="I152">
        <v>23</v>
      </c>
      <c r="J152" s="3">
        <v>230</v>
      </c>
      <c r="K152" t="s">
        <v>522</v>
      </c>
      <c r="L152" t="s">
        <v>523</v>
      </c>
      <c r="M152" s="4">
        <v>0.65</v>
      </c>
      <c r="N152" s="4">
        <v>0.5</v>
      </c>
    </row>
    <row r="153" spans="1:14" x14ac:dyDescent="0.4">
      <c r="A153">
        <v>152</v>
      </c>
      <c r="B153">
        <v>2010</v>
      </c>
      <c r="C153" t="s">
        <v>524</v>
      </c>
      <c r="D153" t="str">
        <f>HYPERLINK("https://ota.tournamentsoftware.com/player-profile/8AD1D172-F89A-42D6-B502-B0FBFAD372C3", "Link")</f>
        <v>Link</v>
      </c>
      <c r="E153" s="2">
        <v>1562.422</v>
      </c>
      <c r="F153" s="3">
        <v>18</v>
      </c>
      <c r="G153" t="s">
        <v>109</v>
      </c>
      <c r="H153" t="s">
        <v>110</v>
      </c>
      <c r="I153">
        <v>26.3</v>
      </c>
      <c r="J153" s="3">
        <v>182</v>
      </c>
      <c r="K153" t="s">
        <v>525</v>
      </c>
      <c r="L153" t="s">
        <v>526</v>
      </c>
      <c r="M153" s="4">
        <v>0.42</v>
      </c>
      <c r="N153" s="4">
        <v>0.39</v>
      </c>
    </row>
    <row r="154" spans="1:14" x14ac:dyDescent="0.4">
      <c r="A154">
        <v>153</v>
      </c>
      <c r="B154">
        <v>2011</v>
      </c>
      <c r="C154" t="s">
        <v>527</v>
      </c>
      <c r="D154" t="str">
        <f>HYPERLINK("https://ota.tournamentsoftware.com/player-profile/E4F24144-8160-4FED-B3B1-F0710E23796A", "Link")</f>
        <v>Link</v>
      </c>
      <c r="E154" s="2">
        <v>1553.3409999999999</v>
      </c>
      <c r="F154" s="3">
        <v>14</v>
      </c>
      <c r="G154" t="s">
        <v>29</v>
      </c>
      <c r="H154" t="s">
        <v>528</v>
      </c>
      <c r="I154">
        <v>25</v>
      </c>
      <c r="J154" s="3">
        <v>247</v>
      </c>
      <c r="K154" t="s">
        <v>529</v>
      </c>
      <c r="L154" t="s">
        <v>530</v>
      </c>
      <c r="M154" s="4">
        <v>0.57999999999999996</v>
      </c>
      <c r="N154" s="4">
        <v>0.56999999999999995</v>
      </c>
    </row>
    <row r="155" spans="1:14" x14ac:dyDescent="0.4">
      <c r="A155">
        <v>154</v>
      </c>
      <c r="B155">
        <v>2010</v>
      </c>
      <c r="C155" t="s">
        <v>531</v>
      </c>
      <c r="D155" t="str">
        <f>HYPERLINK("https://ota.tournamentsoftware.com/player-profile/03282A78-18AF-434B-8002-9C817D1C4A9B", "Link")</f>
        <v>Link</v>
      </c>
      <c r="E155" s="2">
        <v>1546.8389999999999</v>
      </c>
      <c r="F155" s="3">
        <v>9</v>
      </c>
      <c r="G155" t="s">
        <v>29</v>
      </c>
      <c r="H155" t="s">
        <v>532</v>
      </c>
      <c r="I155">
        <v>20.8</v>
      </c>
      <c r="J155" s="3">
        <v>176</v>
      </c>
      <c r="K155" t="s">
        <v>533</v>
      </c>
      <c r="L155" t="s">
        <v>534</v>
      </c>
      <c r="M155" s="4">
        <v>0.56999999999999995</v>
      </c>
      <c r="N155" s="4">
        <v>0.56999999999999995</v>
      </c>
    </row>
    <row r="156" spans="1:14" x14ac:dyDescent="0.4">
      <c r="A156">
        <v>155</v>
      </c>
      <c r="B156">
        <v>2011</v>
      </c>
      <c r="C156" t="s">
        <v>535</v>
      </c>
      <c r="D156" t="str">
        <f>HYPERLINK("https://ota.tournamentsoftware.com/player-profile/258016E8-80CE-4E90-A241-C0F10E8906B5", "Link")</f>
        <v>Link</v>
      </c>
      <c r="E156" s="2">
        <v>1543.2629999999999</v>
      </c>
      <c r="F156" s="3">
        <v>8</v>
      </c>
      <c r="G156" t="s">
        <v>29</v>
      </c>
      <c r="H156" t="s">
        <v>163</v>
      </c>
      <c r="I156" t="s">
        <v>48</v>
      </c>
      <c r="J156" s="3">
        <v>318</v>
      </c>
      <c r="K156" t="s">
        <v>536</v>
      </c>
      <c r="L156" t="s">
        <v>537</v>
      </c>
      <c r="M156" s="4">
        <v>0.5</v>
      </c>
      <c r="N156" s="4">
        <v>0.5</v>
      </c>
    </row>
    <row r="157" spans="1:14" x14ac:dyDescent="0.4">
      <c r="A157">
        <v>156</v>
      </c>
      <c r="B157">
        <v>2013</v>
      </c>
      <c r="C157" t="s">
        <v>538</v>
      </c>
      <c r="D157" t="str">
        <f>HYPERLINK("https://ota.tournamentsoftware.com/player-profile/124D1E6B-E463-4461-A5D1-9C844DE2C6D9", "Link")</f>
        <v>Link</v>
      </c>
      <c r="E157" s="2">
        <v>1534.5920000000001</v>
      </c>
      <c r="F157" s="3">
        <v>21</v>
      </c>
      <c r="G157" t="s">
        <v>25</v>
      </c>
      <c r="H157" t="s">
        <v>26</v>
      </c>
      <c r="I157">
        <v>25.2</v>
      </c>
      <c r="J157" s="3">
        <v>290</v>
      </c>
      <c r="K157" t="s">
        <v>539</v>
      </c>
      <c r="L157" t="s">
        <v>540</v>
      </c>
      <c r="M157" s="4">
        <v>0.53</v>
      </c>
      <c r="N157" s="4">
        <v>0.5</v>
      </c>
    </row>
    <row r="158" spans="1:14" x14ac:dyDescent="0.4">
      <c r="A158">
        <v>157</v>
      </c>
      <c r="B158">
        <v>2011</v>
      </c>
      <c r="C158" t="s">
        <v>541</v>
      </c>
      <c r="D158" t="str">
        <f>HYPERLINK("https://ota.tournamentsoftware.com/player-profile/371F9BE9-E102-49D5-B1AB-1A4561F03A5F", "Link")</f>
        <v>Link</v>
      </c>
      <c r="E158" s="2">
        <v>1528.7249999999999</v>
      </c>
      <c r="F158" s="3">
        <v>12</v>
      </c>
      <c r="G158" t="s">
        <v>29</v>
      </c>
      <c r="H158" t="s">
        <v>70</v>
      </c>
      <c r="I158">
        <v>24.5</v>
      </c>
      <c r="J158" s="3">
        <v>296</v>
      </c>
      <c r="K158" t="s">
        <v>542</v>
      </c>
      <c r="L158" t="s">
        <v>543</v>
      </c>
      <c r="M158" s="4">
        <v>0.56999999999999995</v>
      </c>
      <c r="N158" s="4">
        <v>0.5</v>
      </c>
    </row>
    <row r="159" spans="1:14" x14ac:dyDescent="0.4">
      <c r="A159">
        <v>158</v>
      </c>
      <c r="B159">
        <v>2011</v>
      </c>
      <c r="C159" t="s">
        <v>544</v>
      </c>
      <c r="D159" t="str">
        <f>HYPERLINK("https://ota.tournamentsoftware.com/player-profile/0A716C5C-F7CF-4A59-AFDA-3E59437D7869", "Link")</f>
        <v>Link</v>
      </c>
      <c r="E159" s="2">
        <v>1501.2180000000001</v>
      </c>
      <c r="F159" s="3">
        <v>21</v>
      </c>
      <c r="G159" t="s">
        <v>25</v>
      </c>
      <c r="H159" t="s">
        <v>545</v>
      </c>
      <c r="I159">
        <v>27.9</v>
      </c>
      <c r="J159" s="3">
        <v>200</v>
      </c>
      <c r="K159" t="s">
        <v>546</v>
      </c>
      <c r="L159" t="s">
        <v>547</v>
      </c>
      <c r="M159" s="4">
        <v>0.47</v>
      </c>
      <c r="N159" s="4">
        <v>0.52</v>
      </c>
    </row>
    <row r="160" spans="1:14" x14ac:dyDescent="0.4">
      <c r="A160">
        <v>159</v>
      </c>
      <c r="B160">
        <v>2012</v>
      </c>
      <c r="C160" t="s">
        <v>548</v>
      </c>
      <c r="D160" t="str">
        <f>HYPERLINK("https://ota.tournamentsoftware.com/player-profile/993E5845-6FAB-4557-A6F0-C3D60CD8BB97", "Link")</f>
        <v>Link</v>
      </c>
      <c r="E160" s="2">
        <v>1488.96</v>
      </c>
      <c r="F160" s="3">
        <v>17</v>
      </c>
      <c r="G160" t="s">
        <v>20</v>
      </c>
      <c r="H160" t="s">
        <v>16</v>
      </c>
      <c r="I160">
        <v>25.4</v>
      </c>
      <c r="J160" s="3">
        <v>111</v>
      </c>
      <c r="K160" t="s">
        <v>549</v>
      </c>
      <c r="L160" t="s">
        <v>550</v>
      </c>
      <c r="M160" s="4">
        <v>0.7</v>
      </c>
      <c r="N160" s="4">
        <v>0.53</v>
      </c>
    </row>
    <row r="161" spans="1:14" x14ac:dyDescent="0.4">
      <c r="A161">
        <v>160</v>
      </c>
      <c r="B161">
        <v>2011</v>
      </c>
      <c r="C161" t="s">
        <v>551</v>
      </c>
      <c r="D161" t="str">
        <f>HYPERLINK("https://ota.tournamentsoftware.com/player-profile/0DD3FA56-079B-4D94-99AA-D16855A351BA", "Link")</f>
        <v>Link</v>
      </c>
      <c r="E161" s="2">
        <v>1479.021</v>
      </c>
      <c r="F161" s="3">
        <v>12</v>
      </c>
      <c r="G161" t="s">
        <v>15</v>
      </c>
      <c r="H161" t="s">
        <v>16</v>
      </c>
      <c r="I161">
        <v>27.6</v>
      </c>
      <c r="J161" s="3">
        <v>200</v>
      </c>
      <c r="K161" t="s">
        <v>552</v>
      </c>
      <c r="L161" t="s">
        <v>553</v>
      </c>
      <c r="M161" s="4">
        <v>0.47</v>
      </c>
      <c r="N161" s="4">
        <v>0.45</v>
      </c>
    </row>
    <row r="162" spans="1:14" x14ac:dyDescent="0.4">
      <c r="A162">
        <v>161</v>
      </c>
      <c r="B162">
        <v>2012</v>
      </c>
      <c r="C162" t="s">
        <v>554</v>
      </c>
      <c r="D162" t="str">
        <f>HYPERLINK("https://ota.tournamentsoftware.com/player-profile/2504E03B-B05C-4307-B90E-F3F72DD94827", "Link")</f>
        <v>Link</v>
      </c>
      <c r="E162" s="2">
        <v>1476.7629999999999</v>
      </c>
      <c r="F162" s="3">
        <v>20</v>
      </c>
      <c r="G162" t="s">
        <v>29</v>
      </c>
      <c r="H162" t="s">
        <v>555</v>
      </c>
      <c r="I162">
        <v>28.3</v>
      </c>
      <c r="J162" s="3">
        <v>186</v>
      </c>
      <c r="K162" t="s">
        <v>556</v>
      </c>
      <c r="L162" t="s">
        <v>557</v>
      </c>
      <c r="M162" s="4">
        <v>0.49</v>
      </c>
      <c r="N162" s="4">
        <v>0.59</v>
      </c>
    </row>
    <row r="163" spans="1:14" x14ac:dyDescent="0.4">
      <c r="A163">
        <v>162</v>
      </c>
      <c r="B163">
        <v>2013</v>
      </c>
      <c r="C163" t="s">
        <v>558</v>
      </c>
      <c r="D163" t="str">
        <f>HYPERLINK("https://ota.tournamentsoftware.com/player-profile/9486479F-C8FD-48FB-BCCD-0246C53A632C", "Link")</f>
        <v>Link</v>
      </c>
      <c r="E163" s="2">
        <v>1469.9059999999999</v>
      </c>
      <c r="F163" s="3">
        <v>12</v>
      </c>
      <c r="G163" t="s">
        <v>20</v>
      </c>
      <c r="H163" t="s">
        <v>43</v>
      </c>
      <c r="I163">
        <v>25.2</v>
      </c>
      <c r="J163" s="3">
        <v>239</v>
      </c>
      <c r="K163" t="s">
        <v>559</v>
      </c>
      <c r="L163" t="s">
        <v>560</v>
      </c>
      <c r="M163" s="4">
        <v>0.61</v>
      </c>
      <c r="N163" s="4">
        <v>0.47</v>
      </c>
    </row>
    <row r="164" spans="1:14" x14ac:dyDescent="0.4">
      <c r="A164">
        <v>163</v>
      </c>
      <c r="B164">
        <v>2012</v>
      </c>
      <c r="C164" t="s">
        <v>561</v>
      </c>
      <c r="D164" t="str">
        <f>HYPERLINK("https://ota.tournamentsoftware.com/player-profile/9A5D0B4A-A8C7-47DA-8CAD-CA25D28C69CE", "Link")</f>
        <v>Link</v>
      </c>
      <c r="E164" s="2">
        <v>1465.5709999999999</v>
      </c>
      <c r="F164" s="3">
        <v>23</v>
      </c>
      <c r="G164" t="s">
        <v>25</v>
      </c>
      <c r="H164" t="s">
        <v>99</v>
      </c>
      <c r="I164">
        <v>26.5</v>
      </c>
      <c r="J164" s="3">
        <v>261</v>
      </c>
      <c r="K164" t="s">
        <v>562</v>
      </c>
      <c r="L164" t="s">
        <v>489</v>
      </c>
      <c r="M164" s="4">
        <v>0.46</v>
      </c>
      <c r="N164" s="4">
        <v>0.46</v>
      </c>
    </row>
    <row r="165" spans="1:14" x14ac:dyDescent="0.4">
      <c r="A165">
        <v>164</v>
      </c>
      <c r="B165">
        <v>2014</v>
      </c>
      <c r="C165" t="s">
        <v>563</v>
      </c>
      <c r="D165" t="str">
        <f>HYPERLINK("https://ota.tournamentsoftware.com/player-profile/EADED953-942B-4335-BE21-C0DE8F31626D", "Link")</f>
        <v>Link</v>
      </c>
      <c r="E165" s="2">
        <v>1450.912</v>
      </c>
      <c r="F165" s="3">
        <v>22</v>
      </c>
      <c r="G165" t="s">
        <v>29</v>
      </c>
      <c r="H165" t="s">
        <v>16</v>
      </c>
      <c r="I165">
        <v>27.1</v>
      </c>
      <c r="J165" s="3">
        <v>220</v>
      </c>
      <c r="K165" t="s">
        <v>564</v>
      </c>
      <c r="L165" t="s">
        <v>565</v>
      </c>
      <c r="M165" s="4">
        <v>0.6</v>
      </c>
      <c r="N165" s="4">
        <v>0.62</v>
      </c>
    </row>
    <row r="166" spans="1:14" x14ac:dyDescent="0.4">
      <c r="A166">
        <v>165</v>
      </c>
      <c r="B166">
        <v>2011</v>
      </c>
      <c r="C166" t="s">
        <v>566</v>
      </c>
      <c r="D166" t="str">
        <f>HYPERLINK("https://ota.tournamentsoftware.com/player-profile/D93449C5-91E1-46AC-9095-1666A0657E82", "Link")</f>
        <v>Link</v>
      </c>
      <c r="E166" s="2">
        <v>1432.56</v>
      </c>
      <c r="F166" s="3">
        <v>4</v>
      </c>
      <c r="G166" t="s">
        <v>109</v>
      </c>
      <c r="H166" t="s">
        <v>110</v>
      </c>
      <c r="I166">
        <v>19.7</v>
      </c>
      <c r="J166" s="3">
        <v>64</v>
      </c>
      <c r="K166" t="s">
        <v>567</v>
      </c>
      <c r="L166" t="s">
        <v>568</v>
      </c>
      <c r="M166" s="4">
        <v>0.84</v>
      </c>
      <c r="N166" s="4">
        <v>0.86</v>
      </c>
    </row>
    <row r="167" spans="1:14" x14ac:dyDescent="0.4">
      <c r="A167">
        <v>166</v>
      </c>
      <c r="B167">
        <v>2012</v>
      </c>
      <c r="C167" t="s">
        <v>569</v>
      </c>
      <c r="D167" t="str">
        <f>HYPERLINK("https://ota.tournamentsoftware.com/player-profile/7BB53E38-BBB9-4E1E-B8A2-8EFC2E762653", "Link")</f>
        <v>Link</v>
      </c>
      <c r="E167" s="2">
        <v>1427.367</v>
      </c>
      <c r="F167" s="3">
        <v>27</v>
      </c>
      <c r="G167" t="s">
        <v>29</v>
      </c>
      <c r="H167" t="s">
        <v>145</v>
      </c>
      <c r="I167">
        <v>24.4</v>
      </c>
      <c r="J167" s="3">
        <v>209</v>
      </c>
      <c r="K167" t="s">
        <v>570</v>
      </c>
      <c r="L167" t="s">
        <v>571</v>
      </c>
      <c r="M167" s="4">
        <v>0.62</v>
      </c>
      <c r="N167" s="4">
        <v>0.56999999999999995</v>
      </c>
    </row>
    <row r="168" spans="1:14" x14ac:dyDescent="0.4">
      <c r="A168">
        <v>167</v>
      </c>
      <c r="B168">
        <v>2014</v>
      </c>
      <c r="C168" t="s">
        <v>572</v>
      </c>
      <c r="D168" t="str">
        <f>HYPERLINK("https://ota.tournamentsoftware.com/player-profile/741A3060-1EA3-4E29-A0BE-1717DEF32CEA", "Link")</f>
        <v>Link</v>
      </c>
      <c r="E168" s="2">
        <v>1414.433</v>
      </c>
      <c r="F168" s="3">
        <v>27</v>
      </c>
      <c r="G168" t="s">
        <v>29</v>
      </c>
      <c r="H168" t="s">
        <v>47</v>
      </c>
      <c r="I168">
        <v>26.7</v>
      </c>
      <c r="J168" s="3">
        <v>267</v>
      </c>
      <c r="K168" t="s">
        <v>573</v>
      </c>
      <c r="L168" t="s">
        <v>574</v>
      </c>
      <c r="M168" s="4">
        <v>0.64</v>
      </c>
      <c r="N168" s="4">
        <v>0.66</v>
      </c>
    </row>
    <row r="169" spans="1:14" x14ac:dyDescent="0.4">
      <c r="A169">
        <v>168</v>
      </c>
      <c r="B169">
        <v>2011</v>
      </c>
      <c r="C169" t="s">
        <v>575</v>
      </c>
      <c r="D169" t="str">
        <f>HYPERLINK("https://ota.tournamentsoftware.com/player-profile/660D562A-7D99-49E7-908C-194AFEB2EFEB", "Link")</f>
        <v>Link</v>
      </c>
      <c r="E169" s="2">
        <v>1400.145</v>
      </c>
      <c r="F169" s="3">
        <v>19</v>
      </c>
      <c r="G169" t="s">
        <v>25</v>
      </c>
      <c r="H169" t="s">
        <v>545</v>
      </c>
      <c r="I169">
        <v>27.3</v>
      </c>
      <c r="J169" s="3">
        <v>158</v>
      </c>
      <c r="K169" t="s">
        <v>576</v>
      </c>
      <c r="L169" t="s">
        <v>577</v>
      </c>
      <c r="M169" s="4">
        <v>0.53</v>
      </c>
      <c r="N169" s="4">
        <v>0.48</v>
      </c>
    </row>
    <row r="170" spans="1:14" x14ac:dyDescent="0.4">
      <c r="A170">
        <v>169</v>
      </c>
      <c r="B170">
        <v>2013</v>
      </c>
      <c r="C170" t="s">
        <v>578</v>
      </c>
      <c r="D170" t="str">
        <f>HYPERLINK("https://ota.tournamentsoftware.com/player-profile/9DB24D5C-3B5C-4B40-BE7E-B331240C1B21", "Link")</f>
        <v>Link</v>
      </c>
      <c r="E170" s="2">
        <v>1397.453</v>
      </c>
      <c r="F170" s="3">
        <v>30</v>
      </c>
      <c r="G170" t="s">
        <v>29</v>
      </c>
      <c r="H170" t="s">
        <v>141</v>
      </c>
      <c r="I170">
        <v>27.9</v>
      </c>
      <c r="J170" s="3">
        <v>179</v>
      </c>
      <c r="K170" t="s">
        <v>579</v>
      </c>
      <c r="L170" t="s">
        <v>580</v>
      </c>
      <c r="M170" s="4">
        <v>0.52</v>
      </c>
      <c r="N170" s="4">
        <v>0.56000000000000005</v>
      </c>
    </row>
    <row r="171" spans="1:14" x14ac:dyDescent="0.4">
      <c r="A171">
        <v>170</v>
      </c>
      <c r="B171">
        <v>2012</v>
      </c>
      <c r="C171" t="s">
        <v>581</v>
      </c>
      <c r="D171" t="str">
        <f>HYPERLINK("https://ota.tournamentsoftware.com/player-profile/B6F84042-B29D-4CD8-984E-787094BFA8A4", "Link")</f>
        <v>Link</v>
      </c>
      <c r="E171" s="2">
        <v>1396.116</v>
      </c>
      <c r="F171" s="3">
        <v>29</v>
      </c>
      <c r="G171" t="s">
        <v>29</v>
      </c>
      <c r="H171" t="s">
        <v>103</v>
      </c>
      <c r="I171">
        <v>25.4</v>
      </c>
      <c r="J171" s="3">
        <v>231</v>
      </c>
      <c r="K171" t="s">
        <v>582</v>
      </c>
      <c r="L171" t="s">
        <v>583</v>
      </c>
      <c r="M171" s="4">
        <v>0.55000000000000004</v>
      </c>
      <c r="N171" s="4">
        <v>0.61</v>
      </c>
    </row>
    <row r="172" spans="1:14" x14ac:dyDescent="0.4">
      <c r="A172">
        <v>171</v>
      </c>
      <c r="B172">
        <v>2010</v>
      </c>
      <c r="C172" t="s">
        <v>584</v>
      </c>
      <c r="D172" t="str">
        <f>HYPERLINK("https://ota.tournamentsoftware.com/player-profile/3AC54ED6-E1CA-45EA-9BA5-194B64FFA5A1", "Link")</f>
        <v>Link</v>
      </c>
      <c r="E172" s="2">
        <v>1389.807</v>
      </c>
      <c r="F172" s="3">
        <v>24</v>
      </c>
      <c r="G172" t="s">
        <v>25</v>
      </c>
      <c r="H172" t="s">
        <v>16</v>
      </c>
      <c r="I172">
        <v>27.5</v>
      </c>
      <c r="J172" s="3">
        <v>202</v>
      </c>
      <c r="K172" t="s">
        <v>585</v>
      </c>
      <c r="L172" t="s">
        <v>586</v>
      </c>
      <c r="M172" s="4">
        <v>0.28999999999999998</v>
      </c>
      <c r="N172" s="4">
        <v>0.34</v>
      </c>
    </row>
    <row r="173" spans="1:14" x14ac:dyDescent="0.4">
      <c r="A173">
        <v>172</v>
      </c>
      <c r="B173">
        <v>2013</v>
      </c>
      <c r="C173" t="s">
        <v>587</v>
      </c>
      <c r="D173" t="str">
        <f>HYPERLINK("https://ota.tournamentsoftware.com/player-profile/4D9EBB83-94D7-44A3-BD6F-1D98EF9559DF", "Link")</f>
        <v>Link</v>
      </c>
      <c r="E173" s="2">
        <v>1376.144</v>
      </c>
      <c r="F173" s="3">
        <v>11</v>
      </c>
      <c r="G173" t="s">
        <v>15</v>
      </c>
      <c r="H173" t="s">
        <v>271</v>
      </c>
      <c r="I173">
        <v>29.7</v>
      </c>
      <c r="J173" s="3">
        <v>196</v>
      </c>
      <c r="K173" t="s">
        <v>588</v>
      </c>
      <c r="L173" t="s">
        <v>589</v>
      </c>
      <c r="M173" s="4">
        <v>0.43</v>
      </c>
      <c r="N173" s="4">
        <v>0.55000000000000004</v>
      </c>
    </row>
    <row r="174" spans="1:14" x14ac:dyDescent="0.4">
      <c r="A174">
        <v>173</v>
      </c>
      <c r="B174">
        <v>2010</v>
      </c>
      <c r="C174" t="s">
        <v>590</v>
      </c>
      <c r="D174" t="str">
        <f>HYPERLINK("https://ota.tournamentsoftware.com/player-profile/9991E504-1C7E-49C9-A609-3693A4254FAE", "Link")</f>
        <v>Link</v>
      </c>
      <c r="E174" s="2">
        <v>1363.338</v>
      </c>
      <c r="F174" s="3">
        <v>14</v>
      </c>
      <c r="G174" t="s">
        <v>29</v>
      </c>
      <c r="H174" t="s">
        <v>16</v>
      </c>
      <c r="I174">
        <v>23.2</v>
      </c>
      <c r="J174" s="3">
        <v>324</v>
      </c>
      <c r="K174" t="s">
        <v>591</v>
      </c>
      <c r="L174" t="s">
        <v>592</v>
      </c>
      <c r="M174" s="4">
        <v>0.54</v>
      </c>
      <c r="N174" s="4">
        <v>0.54</v>
      </c>
    </row>
    <row r="175" spans="1:14" x14ac:dyDescent="0.4">
      <c r="A175">
        <v>174</v>
      </c>
      <c r="B175">
        <v>2014</v>
      </c>
      <c r="C175" t="s">
        <v>593</v>
      </c>
      <c r="D175" t="str">
        <f>HYPERLINK("https://ota.tournamentsoftware.com/player-profile/5640B61E-0EE7-4BB3-ABC3-AD9CB508E4E9", "Link")</f>
        <v>Link</v>
      </c>
      <c r="E175" s="2">
        <v>1351.6510000000001</v>
      </c>
      <c r="F175" s="3">
        <v>21</v>
      </c>
      <c r="G175" t="s">
        <v>29</v>
      </c>
      <c r="H175" t="s">
        <v>471</v>
      </c>
      <c r="I175">
        <v>26.7</v>
      </c>
      <c r="J175" s="3">
        <v>258</v>
      </c>
      <c r="K175" t="s">
        <v>594</v>
      </c>
      <c r="L175" t="s">
        <v>595</v>
      </c>
      <c r="M175" s="4">
        <v>0.72</v>
      </c>
      <c r="N175" s="4">
        <v>0.66</v>
      </c>
    </row>
    <row r="176" spans="1:14" x14ac:dyDescent="0.4">
      <c r="A176">
        <v>175</v>
      </c>
      <c r="B176">
        <v>2013</v>
      </c>
      <c r="C176" t="s">
        <v>596</v>
      </c>
      <c r="D176" t="str">
        <f>HYPERLINK("https://ota.tournamentsoftware.com/player-profile/F2AC6B3A-37CF-4522-9228-9A614DED4E6F", "Link")</f>
        <v>Link</v>
      </c>
      <c r="E176" s="2">
        <v>1333.136</v>
      </c>
      <c r="F176" s="3">
        <v>14</v>
      </c>
      <c r="G176" t="s">
        <v>109</v>
      </c>
      <c r="H176" t="s">
        <v>110</v>
      </c>
      <c r="I176">
        <v>27.3</v>
      </c>
      <c r="J176" s="3">
        <v>225</v>
      </c>
      <c r="K176" t="s">
        <v>597</v>
      </c>
      <c r="L176" t="s">
        <v>598</v>
      </c>
      <c r="M176" s="4">
        <v>0.5</v>
      </c>
      <c r="N176" s="4">
        <v>0.57999999999999996</v>
      </c>
    </row>
    <row r="177" spans="1:14" x14ac:dyDescent="0.4">
      <c r="A177">
        <v>176</v>
      </c>
      <c r="B177">
        <v>2010</v>
      </c>
      <c r="C177" t="s">
        <v>599</v>
      </c>
      <c r="D177" t="str">
        <f>HYPERLINK("https://ota.tournamentsoftware.com/player-profile/4C1A074F-2ED1-42F4-B382-9E9FEF6711A3", "Link")</f>
        <v>Link</v>
      </c>
      <c r="E177" s="2">
        <v>1312.4459999999999</v>
      </c>
      <c r="F177" s="3">
        <v>10</v>
      </c>
      <c r="G177" t="s">
        <v>29</v>
      </c>
      <c r="H177" t="s">
        <v>16</v>
      </c>
      <c r="I177">
        <v>25.2</v>
      </c>
      <c r="J177" s="3">
        <v>94</v>
      </c>
      <c r="K177" t="s">
        <v>600</v>
      </c>
      <c r="L177" t="s">
        <v>601</v>
      </c>
      <c r="M177" s="4">
        <v>0.56999999999999995</v>
      </c>
      <c r="N177" s="4">
        <v>0.52</v>
      </c>
    </row>
    <row r="178" spans="1:14" x14ac:dyDescent="0.4">
      <c r="A178">
        <v>177</v>
      </c>
      <c r="B178">
        <v>2011</v>
      </c>
      <c r="C178" t="s">
        <v>602</v>
      </c>
      <c r="D178" t="str">
        <f>HYPERLINK("https://ota.tournamentsoftware.com/player-profile/25D11154-DE4A-4DCF-B323-D4A1963D3D23", "Link")</f>
        <v>Link</v>
      </c>
      <c r="E178" s="2">
        <v>1304</v>
      </c>
      <c r="F178" s="3">
        <v>13</v>
      </c>
      <c r="G178" t="s">
        <v>173</v>
      </c>
      <c r="H178" t="s">
        <v>174</v>
      </c>
      <c r="I178">
        <v>24.3</v>
      </c>
      <c r="J178" s="3">
        <v>152</v>
      </c>
      <c r="K178" t="s">
        <v>603</v>
      </c>
      <c r="L178" t="s">
        <v>604</v>
      </c>
      <c r="M178" s="4">
        <v>0.62</v>
      </c>
      <c r="N178" s="4">
        <v>0.5</v>
      </c>
    </row>
    <row r="179" spans="1:14" x14ac:dyDescent="0.4">
      <c r="A179">
        <v>178</v>
      </c>
      <c r="B179">
        <v>2011</v>
      </c>
      <c r="C179" t="s">
        <v>605</v>
      </c>
      <c r="D179" t="str">
        <f>HYPERLINK("https://ota.tournamentsoftware.com/player-profile/ECC392CC-D033-42ED-B4E7-9E7B7B42AF23", "Link")</f>
        <v>Link</v>
      </c>
      <c r="E179" s="2">
        <v>1300.32</v>
      </c>
      <c r="F179" s="3">
        <v>12</v>
      </c>
      <c r="G179" t="s">
        <v>185</v>
      </c>
      <c r="H179" t="s">
        <v>186</v>
      </c>
      <c r="I179">
        <v>27.6</v>
      </c>
      <c r="J179" s="3">
        <v>242</v>
      </c>
      <c r="K179" t="s">
        <v>606</v>
      </c>
      <c r="L179" t="s">
        <v>607</v>
      </c>
      <c r="M179" s="4">
        <v>0.52</v>
      </c>
      <c r="N179" s="4">
        <v>0.56000000000000005</v>
      </c>
    </row>
    <row r="180" spans="1:14" x14ac:dyDescent="0.4">
      <c r="A180">
        <v>179</v>
      </c>
      <c r="B180">
        <v>2010</v>
      </c>
      <c r="C180" t="s">
        <v>608</v>
      </c>
      <c r="D180" t="str">
        <f>HYPERLINK("https://ota.tournamentsoftware.com/player-profile/377BC7F6-47D0-44DA-9A88-1C19D275F1FA", "Link")</f>
        <v>Link</v>
      </c>
      <c r="E180" s="2">
        <v>1292.4349999999999</v>
      </c>
      <c r="F180" s="3">
        <v>12</v>
      </c>
      <c r="G180" t="s">
        <v>20</v>
      </c>
      <c r="H180" t="s">
        <v>43</v>
      </c>
      <c r="I180" t="s">
        <v>48</v>
      </c>
      <c r="J180" s="3">
        <v>185</v>
      </c>
      <c r="K180" t="s">
        <v>609</v>
      </c>
      <c r="L180" t="s">
        <v>610</v>
      </c>
      <c r="M180" s="4">
        <v>0.51</v>
      </c>
      <c r="N180" s="4">
        <v>0.28999999999999998</v>
      </c>
    </row>
    <row r="181" spans="1:14" x14ac:dyDescent="0.4">
      <c r="A181">
        <v>180</v>
      </c>
      <c r="B181">
        <v>2012</v>
      </c>
      <c r="C181" t="s">
        <v>611</v>
      </c>
      <c r="D181" t="str">
        <f>HYPERLINK("https://ota.tournamentsoftware.com/player-profile/829AD033-5D37-4AE8-9F34-8C50F25B20C3", "Link")</f>
        <v>Link</v>
      </c>
      <c r="E181" s="2">
        <v>1288.491</v>
      </c>
      <c r="F181" s="3">
        <v>13</v>
      </c>
      <c r="G181" t="s">
        <v>29</v>
      </c>
      <c r="H181" t="s">
        <v>256</v>
      </c>
      <c r="I181">
        <v>26</v>
      </c>
      <c r="J181" s="3">
        <v>214</v>
      </c>
      <c r="K181" t="s">
        <v>612</v>
      </c>
      <c r="L181" t="s">
        <v>408</v>
      </c>
      <c r="M181" s="4">
        <v>0.42</v>
      </c>
      <c r="N181" s="4">
        <v>0.48</v>
      </c>
    </row>
    <row r="182" spans="1:14" x14ac:dyDescent="0.4">
      <c r="A182">
        <v>181</v>
      </c>
      <c r="B182">
        <v>2011</v>
      </c>
      <c r="C182" t="s">
        <v>613</v>
      </c>
      <c r="D182" t="str">
        <f>HYPERLINK("https://ota.tournamentsoftware.com/player-profile/299A0B25-F476-4F4E-B333-38533D218497", "Link")</f>
        <v>Link</v>
      </c>
      <c r="E182" s="2">
        <v>1275.5889999999999</v>
      </c>
      <c r="F182" s="3">
        <v>13</v>
      </c>
      <c r="G182" t="s">
        <v>29</v>
      </c>
      <c r="H182" t="s">
        <v>614</v>
      </c>
      <c r="I182">
        <v>24.2</v>
      </c>
      <c r="J182" s="3">
        <v>147</v>
      </c>
      <c r="K182" t="s">
        <v>615</v>
      </c>
      <c r="L182" t="s">
        <v>616</v>
      </c>
      <c r="M182" s="4">
        <v>0.59</v>
      </c>
      <c r="N182" s="4">
        <v>0.69</v>
      </c>
    </row>
    <row r="183" spans="1:14" x14ac:dyDescent="0.4">
      <c r="A183">
        <v>182</v>
      </c>
      <c r="B183">
        <v>2013</v>
      </c>
      <c r="C183" t="s">
        <v>617</v>
      </c>
      <c r="D183" t="str">
        <f>HYPERLINK("https://ota.tournamentsoftware.com/player-profile/5197490D-6996-4375-892E-2696E508FF34", "Link")</f>
        <v>Link</v>
      </c>
      <c r="E183" s="2">
        <v>1274.991</v>
      </c>
      <c r="F183" s="3">
        <v>21</v>
      </c>
      <c r="G183" t="s">
        <v>25</v>
      </c>
      <c r="H183" t="s">
        <v>85</v>
      </c>
      <c r="I183">
        <v>24.9</v>
      </c>
      <c r="J183" s="3">
        <v>210</v>
      </c>
      <c r="K183" t="s">
        <v>618</v>
      </c>
      <c r="L183" t="s">
        <v>619</v>
      </c>
      <c r="M183" s="4">
        <v>0.65</v>
      </c>
      <c r="N183" s="4">
        <v>0.65</v>
      </c>
    </row>
    <row r="184" spans="1:14" x14ac:dyDescent="0.4">
      <c r="A184">
        <v>183</v>
      </c>
      <c r="B184">
        <v>2010</v>
      </c>
      <c r="C184" t="s">
        <v>620</v>
      </c>
      <c r="D184" t="str">
        <f>HYPERLINK("https://ota.tournamentsoftware.com/player-profile/D8737848-05C8-4A69-BE2F-620BF34EDE71", "Link")</f>
        <v>Link</v>
      </c>
      <c r="E184" s="2">
        <v>1262.951</v>
      </c>
      <c r="F184" s="3">
        <v>15</v>
      </c>
      <c r="G184" t="s">
        <v>29</v>
      </c>
      <c r="H184" t="s">
        <v>374</v>
      </c>
      <c r="I184">
        <v>28.8</v>
      </c>
      <c r="J184" s="3">
        <v>238</v>
      </c>
      <c r="K184" t="s">
        <v>621</v>
      </c>
      <c r="L184" t="s">
        <v>622</v>
      </c>
      <c r="M184" s="4">
        <v>0.39</v>
      </c>
      <c r="N184" s="4">
        <v>0.33</v>
      </c>
    </row>
    <row r="185" spans="1:14" x14ac:dyDescent="0.4">
      <c r="A185">
        <v>184</v>
      </c>
      <c r="B185">
        <v>2010</v>
      </c>
      <c r="C185" t="s">
        <v>623</v>
      </c>
      <c r="D185" t="str">
        <f>HYPERLINK("https://ota.tournamentsoftware.com/player-profile/4F68EB2F-B5D3-4545-BD78-1EB3E2B290A9", "Link")</f>
        <v>Link</v>
      </c>
      <c r="E185" s="2">
        <v>1251.518</v>
      </c>
      <c r="F185" s="3">
        <v>10</v>
      </c>
      <c r="G185" t="s">
        <v>20</v>
      </c>
      <c r="H185" t="s">
        <v>43</v>
      </c>
      <c r="I185">
        <v>22</v>
      </c>
      <c r="J185" s="3">
        <v>417</v>
      </c>
      <c r="K185" t="s">
        <v>624</v>
      </c>
      <c r="L185" t="s">
        <v>625</v>
      </c>
      <c r="M185" s="4">
        <v>0.53</v>
      </c>
      <c r="N185" s="4">
        <v>0.5</v>
      </c>
    </row>
    <row r="186" spans="1:14" x14ac:dyDescent="0.4">
      <c r="A186">
        <v>185</v>
      </c>
      <c r="B186">
        <v>2013</v>
      </c>
      <c r="C186" t="s">
        <v>626</v>
      </c>
      <c r="D186" t="str">
        <f>HYPERLINK("https://ota.tournamentsoftware.com/player-profile/0A3A4B5A-8950-4E67-BAA9-3F132754A3FD", "Link")</f>
        <v>Link</v>
      </c>
      <c r="E186" s="2">
        <v>1233.0450000000001</v>
      </c>
      <c r="F186" s="3">
        <v>16</v>
      </c>
      <c r="G186" t="s">
        <v>29</v>
      </c>
      <c r="H186" t="s">
        <v>141</v>
      </c>
      <c r="I186" t="s">
        <v>48</v>
      </c>
      <c r="J186" s="3">
        <v>240</v>
      </c>
      <c r="K186" t="s">
        <v>627</v>
      </c>
      <c r="L186" t="s">
        <v>628</v>
      </c>
      <c r="M186" s="4">
        <v>0.56999999999999995</v>
      </c>
      <c r="N186" s="4">
        <v>0.66</v>
      </c>
    </row>
    <row r="187" spans="1:14" x14ac:dyDescent="0.4">
      <c r="A187">
        <v>186</v>
      </c>
      <c r="B187">
        <v>2013</v>
      </c>
      <c r="C187" t="s">
        <v>629</v>
      </c>
      <c r="D187" t="str">
        <f>HYPERLINK("https://ota.tournamentsoftware.com/player-profile/3A8C3EB0-444C-4108-A91E-FC74701A660D", "Link")</f>
        <v>Link</v>
      </c>
      <c r="E187" s="2">
        <v>1231.347</v>
      </c>
      <c r="F187" s="3">
        <v>16</v>
      </c>
      <c r="G187" t="s">
        <v>25</v>
      </c>
      <c r="H187" t="s">
        <v>431</v>
      </c>
      <c r="I187">
        <v>25.6</v>
      </c>
      <c r="J187" s="3">
        <v>333</v>
      </c>
      <c r="K187" t="s">
        <v>630</v>
      </c>
      <c r="L187" t="s">
        <v>631</v>
      </c>
      <c r="M187" s="4">
        <v>0.56000000000000005</v>
      </c>
      <c r="N187" s="4">
        <v>0.45</v>
      </c>
    </row>
    <row r="188" spans="1:14" x14ac:dyDescent="0.4">
      <c r="A188">
        <v>187</v>
      </c>
      <c r="B188">
        <v>2012</v>
      </c>
      <c r="C188" t="s">
        <v>632</v>
      </c>
      <c r="D188" t="str">
        <f>HYPERLINK("https://ota.tournamentsoftware.com/player-profile/99FF719F-9C8F-4394-BE76-5455D457977A", "Link")</f>
        <v>Link</v>
      </c>
      <c r="E188" s="2">
        <v>1212.8050000000001</v>
      </c>
      <c r="F188" s="3">
        <v>10</v>
      </c>
      <c r="G188" t="s">
        <v>29</v>
      </c>
      <c r="H188" t="s">
        <v>471</v>
      </c>
      <c r="I188">
        <v>23.2</v>
      </c>
      <c r="J188" s="3">
        <v>181</v>
      </c>
      <c r="K188" t="s">
        <v>633</v>
      </c>
      <c r="L188" t="s">
        <v>139</v>
      </c>
      <c r="M188" s="4">
        <v>0.64</v>
      </c>
      <c r="N188" s="4">
        <v>0.62</v>
      </c>
    </row>
    <row r="189" spans="1:14" x14ac:dyDescent="0.4">
      <c r="A189">
        <v>188</v>
      </c>
      <c r="B189">
        <v>2014</v>
      </c>
      <c r="C189" t="s">
        <v>634</v>
      </c>
      <c r="D189" t="str">
        <f>HYPERLINK("https://ota.tournamentsoftware.com/player-profile/C86BA5BA-97F0-463B-BBE7-6A41452E0D47", "Link")</f>
        <v>Link</v>
      </c>
      <c r="E189" s="2">
        <v>1206.241</v>
      </c>
      <c r="F189" s="3">
        <v>20</v>
      </c>
      <c r="G189" t="s">
        <v>25</v>
      </c>
      <c r="H189" t="s">
        <v>182</v>
      </c>
      <c r="I189">
        <v>25.8</v>
      </c>
      <c r="J189" s="3">
        <v>297</v>
      </c>
      <c r="K189" t="s">
        <v>635</v>
      </c>
      <c r="L189" t="s">
        <v>636</v>
      </c>
      <c r="M189" s="4">
        <v>0.62</v>
      </c>
      <c r="N189" s="4">
        <v>0.75</v>
      </c>
    </row>
    <row r="190" spans="1:14" x14ac:dyDescent="0.4">
      <c r="A190">
        <v>189</v>
      </c>
      <c r="B190">
        <v>2011</v>
      </c>
      <c r="C190" t="s">
        <v>637</v>
      </c>
      <c r="D190" t="str">
        <f>HYPERLINK("https://ota.tournamentsoftware.com/player-profile/1C59C692-4DFB-4C0F-A64F-4F0E45AB0D44", "Link")</f>
        <v>Link</v>
      </c>
      <c r="E190" s="2">
        <v>1200</v>
      </c>
      <c r="F190" s="3">
        <v>10</v>
      </c>
      <c r="I190">
        <v>19.100000000000001</v>
      </c>
      <c r="J190" s="3">
        <v>103</v>
      </c>
      <c r="K190" t="s">
        <v>638</v>
      </c>
      <c r="L190" t="s">
        <v>31</v>
      </c>
      <c r="M190" s="4">
        <v>0.76</v>
      </c>
      <c r="N190" s="4">
        <v>0</v>
      </c>
    </row>
    <row r="191" spans="1:14" x14ac:dyDescent="0.4">
      <c r="A191">
        <v>190</v>
      </c>
      <c r="B191">
        <v>2010</v>
      </c>
      <c r="C191" t="s">
        <v>639</v>
      </c>
      <c r="D191" t="str">
        <f>HYPERLINK("https://ota.tournamentsoftware.com/player-profile/D687DA3B-3507-4327-8FB5-68E991330609", "Link")</f>
        <v>Link</v>
      </c>
      <c r="E191" s="2">
        <v>1194.46</v>
      </c>
      <c r="F191" s="3">
        <v>16</v>
      </c>
      <c r="G191" t="s">
        <v>29</v>
      </c>
      <c r="H191" t="s">
        <v>640</v>
      </c>
      <c r="I191">
        <v>26.5</v>
      </c>
      <c r="J191" s="3">
        <v>147</v>
      </c>
      <c r="K191" t="s">
        <v>641</v>
      </c>
      <c r="L191" t="s">
        <v>642</v>
      </c>
      <c r="M191" s="4">
        <v>0.54</v>
      </c>
      <c r="N191" s="4">
        <v>0.45</v>
      </c>
    </row>
    <row r="192" spans="1:14" x14ac:dyDescent="0.4">
      <c r="A192">
        <v>191</v>
      </c>
      <c r="B192">
        <v>2010</v>
      </c>
      <c r="C192" t="s">
        <v>643</v>
      </c>
      <c r="D192" t="str">
        <f>HYPERLINK("https://ota.tournamentsoftware.com/player-profile/62A03311-04CE-4CD5-9D7B-58F83573D151", "Link")</f>
        <v>Link</v>
      </c>
      <c r="E192" s="2">
        <v>1184.779</v>
      </c>
      <c r="F192" s="3">
        <v>26</v>
      </c>
      <c r="G192" t="s">
        <v>25</v>
      </c>
      <c r="H192" t="s">
        <v>311</v>
      </c>
      <c r="I192">
        <v>26.8</v>
      </c>
      <c r="J192" s="3">
        <v>314</v>
      </c>
      <c r="K192" t="s">
        <v>644</v>
      </c>
      <c r="L192" t="s">
        <v>645</v>
      </c>
      <c r="M192" s="4">
        <v>0.39</v>
      </c>
      <c r="N192" s="4">
        <v>0.5</v>
      </c>
    </row>
    <row r="193" spans="1:14" x14ac:dyDescent="0.4">
      <c r="A193">
        <v>192</v>
      </c>
      <c r="B193">
        <v>2014</v>
      </c>
      <c r="C193" t="s">
        <v>646</v>
      </c>
      <c r="D193" t="str">
        <f>HYPERLINK("https://ota.tournamentsoftware.com/player-profile/01D9A845-667C-4EDB-ABF5-CFE1C5418675", "Link")</f>
        <v>Link</v>
      </c>
      <c r="E193" s="2">
        <v>1181.0940000000001</v>
      </c>
      <c r="F193" s="3">
        <v>15</v>
      </c>
      <c r="G193" t="s">
        <v>173</v>
      </c>
      <c r="H193" t="s">
        <v>174</v>
      </c>
      <c r="I193">
        <v>29.5</v>
      </c>
      <c r="J193" s="3">
        <v>236</v>
      </c>
      <c r="K193" t="s">
        <v>647</v>
      </c>
      <c r="L193" t="s">
        <v>648</v>
      </c>
      <c r="M193" s="4">
        <v>0.57999999999999996</v>
      </c>
      <c r="N193" s="4">
        <v>0.57999999999999996</v>
      </c>
    </row>
    <row r="194" spans="1:14" x14ac:dyDescent="0.4">
      <c r="A194">
        <v>193</v>
      </c>
      <c r="B194">
        <v>2010</v>
      </c>
      <c r="C194" t="s">
        <v>649</v>
      </c>
      <c r="D194" t="str">
        <f>HYPERLINK("https://ota.tournamentsoftware.com/player-profile/8B147C54-A132-4D4A-A4EE-4F18640B3A8E", "Link")</f>
        <v>Link</v>
      </c>
      <c r="E194" s="2">
        <v>1175.9069999999999</v>
      </c>
      <c r="F194" s="3">
        <v>11</v>
      </c>
      <c r="G194" t="s">
        <v>25</v>
      </c>
      <c r="H194" t="s">
        <v>182</v>
      </c>
      <c r="I194" t="s">
        <v>48</v>
      </c>
      <c r="J194" s="3">
        <v>226</v>
      </c>
      <c r="K194" t="s">
        <v>650</v>
      </c>
      <c r="L194" t="s">
        <v>628</v>
      </c>
      <c r="M194" s="4">
        <v>0.62</v>
      </c>
      <c r="N194" s="4">
        <v>0.66</v>
      </c>
    </row>
    <row r="195" spans="1:14" x14ac:dyDescent="0.4">
      <c r="A195">
        <v>194</v>
      </c>
      <c r="B195">
        <v>2012</v>
      </c>
      <c r="C195" t="s">
        <v>651</v>
      </c>
      <c r="D195" t="str">
        <f>HYPERLINK("https://ota.tournamentsoftware.com/player-profile/BA09F220-C66B-4A96-9C0C-1BEE71ADDA56", "Link")</f>
        <v>Link</v>
      </c>
      <c r="E195" s="2">
        <v>1170.5029999999999</v>
      </c>
      <c r="F195" s="3">
        <v>13</v>
      </c>
      <c r="G195" t="s">
        <v>20</v>
      </c>
      <c r="H195" t="s">
        <v>16</v>
      </c>
      <c r="I195" t="s">
        <v>48</v>
      </c>
      <c r="J195" s="3">
        <v>205</v>
      </c>
      <c r="K195" t="s">
        <v>652</v>
      </c>
      <c r="L195" t="s">
        <v>653</v>
      </c>
      <c r="M195" s="4">
        <v>0.53</v>
      </c>
      <c r="N195" s="4">
        <v>0.5</v>
      </c>
    </row>
    <row r="196" spans="1:14" x14ac:dyDescent="0.4">
      <c r="A196">
        <v>195</v>
      </c>
      <c r="B196">
        <v>2013</v>
      </c>
      <c r="C196" t="s">
        <v>654</v>
      </c>
      <c r="D196" t="str">
        <f>HYPERLINK("https://ota.tournamentsoftware.com/player-profile/42371346-12B9-439B-B9EB-FB5DD0ABCB73", "Link")</f>
        <v>Link</v>
      </c>
      <c r="E196" s="2">
        <v>1165.1489999999999</v>
      </c>
      <c r="F196" s="3">
        <v>11</v>
      </c>
      <c r="G196" t="s">
        <v>15</v>
      </c>
      <c r="H196" t="s">
        <v>16</v>
      </c>
      <c r="I196">
        <v>31</v>
      </c>
      <c r="J196" s="3">
        <v>181</v>
      </c>
      <c r="K196" t="s">
        <v>655</v>
      </c>
      <c r="L196" t="s">
        <v>656</v>
      </c>
      <c r="M196" s="4">
        <v>0.44</v>
      </c>
      <c r="N196" s="4">
        <v>0.52</v>
      </c>
    </row>
    <row r="197" spans="1:14" x14ac:dyDescent="0.4">
      <c r="A197">
        <v>196</v>
      </c>
      <c r="B197">
        <v>2011</v>
      </c>
      <c r="C197" t="s">
        <v>657</v>
      </c>
      <c r="D197" t="str">
        <f>HYPERLINK("https://ota.tournamentsoftware.com/player-profile/658F38C8-02E1-4026-87C8-649CEA12818E", "Link")</f>
        <v>Link</v>
      </c>
      <c r="E197" s="2">
        <v>1148.6379999999999</v>
      </c>
      <c r="F197" s="3">
        <v>22</v>
      </c>
      <c r="G197" t="s">
        <v>25</v>
      </c>
      <c r="H197" t="s">
        <v>289</v>
      </c>
      <c r="I197">
        <v>28.1</v>
      </c>
      <c r="J197" s="3">
        <v>177</v>
      </c>
      <c r="K197" t="s">
        <v>658</v>
      </c>
      <c r="L197" t="s">
        <v>659</v>
      </c>
      <c r="M197" s="4">
        <v>0.41</v>
      </c>
      <c r="N197" s="4">
        <v>0.5</v>
      </c>
    </row>
    <row r="198" spans="1:14" x14ac:dyDescent="0.4">
      <c r="A198">
        <v>197</v>
      </c>
      <c r="B198">
        <v>2011</v>
      </c>
      <c r="C198" t="s">
        <v>660</v>
      </c>
      <c r="D198" t="str">
        <f>HYPERLINK("https://ota.tournamentsoftware.com/player-profile/64607BF9-8230-4D94-AE00-3CF45D72CB79", "Link")</f>
        <v>Link</v>
      </c>
      <c r="E198" s="2">
        <v>1139.627</v>
      </c>
      <c r="F198" s="3">
        <v>25</v>
      </c>
      <c r="G198" t="s">
        <v>25</v>
      </c>
      <c r="H198" t="s">
        <v>26</v>
      </c>
      <c r="I198">
        <v>26.5</v>
      </c>
      <c r="J198" s="3">
        <v>197</v>
      </c>
      <c r="K198" t="s">
        <v>661</v>
      </c>
      <c r="L198" t="s">
        <v>662</v>
      </c>
      <c r="M198" s="4">
        <v>0.5</v>
      </c>
      <c r="N198" s="4">
        <v>0.5</v>
      </c>
    </row>
    <row r="199" spans="1:14" x14ac:dyDescent="0.4">
      <c r="A199">
        <v>198</v>
      </c>
      <c r="B199">
        <v>2011</v>
      </c>
      <c r="C199" t="s">
        <v>663</v>
      </c>
      <c r="D199" t="str">
        <f>HYPERLINK("https://ota.tournamentsoftware.com/player-profile/62562C2C-4A48-4340-85DC-0C5A10A1AE5E", "Link")</f>
        <v>Link</v>
      </c>
      <c r="E199" s="2">
        <v>1135.5730000000001</v>
      </c>
      <c r="F199" s="3">
        <v>14</v>
      </c>
      <c r="G199" t="s">
        <v>109</v>
      </c>
      <c r="H199" t="s">
        <v>281</v>
      </c>
      <c r="I199" t="s">
        <v>48</v>
      </c>
      <c r="J199" s="3">
        <v>147</v>
      </c>
      <c r="K199" t="s">
        <v>664</v>
      </c>
      <c r="L199" t="s">
        <v>665</v>
      </c>
      <c r="M199" s="4">
        <v>0.52</v>
      </c>
      <c r="N199" s="4">
        <v>0.78</v>
      </c>
    </row>
    <row r="200" spans="1:14" x14ac:dyDescent="0.4">
      <c r="A200">
        <v>199</v>
      </c>
      <c r="B200">
        <v>2012</v>
      </c>
      <c r="C200" t="s">
        <v>666</v>
      </c>
      <c r="D200" t="str">
        <f>HYPERLINK("https://ota.tournamentsoftware.com/player-profile/807F7468-99D8-4717-B3DF-3F2ED69EFA0A", "Link")</f>
        <v>Link</v>
      </c>
      <c r="E200" s="2">
        <v>1135.5329999999999</v>
      </c>
      <c r="F200" s="3">
        <v>11</v>
      </c>
      <c r="G200" t="s">
        <v>20</v>
      </c>
      <c r="H200" t="s">
        <v>127</v>
      </c>
      <c r="I200">
        <v>25.7</v>
      </c>
      <c r="J200" s="3">
        <v>244</v>
      </c>
      <c r="K200" t="s">
        <v>667</v>
      </c>
      <c r="L200" t="s">
        <v>668</v>
      </c>
      <c r="M200" s="4">
        <v>0.56000000000000005</v>
      </c>
      <c r="N200" s="4">
        <v>0.47</v>
      </c>
    </row>
    <row r="201" spans="1:14" x14ac:dyDescent="0.4">
      <c r="A201">
        <v>200</v>
      </c>
      <c r="B201">
        <v>2013</v>
      </c>
      <c r="C201" t="s">
        <v>669</v>
      </c>
      <c r="D201" t="str">
        <f>HYPERLINK("https://ota.tournamentsoftware.com/player-profile/89018759-835F-4CE0-A297-3449F2A42D00", "Link")</f>
        <v>Link</v>
      </c>
      <c r="E201" s="2">
        <v>1113.2729999999999</v>
      </c>
      <c r="F201" s="3">
        <v>24</v>
      </c>
      <c r="G201" t="s">
        <v>20</v>
      </c>
      <c r="H201" t="s">
        <v>43</v>
      </c>
      <c r="I201">
        <v>25.8</v>
      </c>
      <c r="J201" s="3">
        <v>197</v>
      </c>
      <c r="K201" t="s">
        <v>670</v>
      </c>
      <c r="L201" t="s">
        <v>671</v>
      </c>
      <c r="M201" s="4">
        <v>0.53</v>
      </c>
      <c r="N201" s="4">
        <v>0.63</v>
      </c>
    </row>
    <row r="202" spans="1:14" x14ac:dyDescent="0.4">
      <c r="A202">
        <v>201</v>
      </c>
      <c r="B202">
        <v>2014</v>
      </c>
      <c r="C202" t="s">
        <v>672</v>
      </c>
      <c r="D202" t="str">
        <f>HYPERLINK("https://ota.tournamentsoftware.com/player-profile/53190390-CC68-4E5E-8079-A41733ADF41A", "Link")</f>
        <v>Link</v>
      </c>
      <c r="E202" s="2">
        <v>1108.596</v>
      </c>
      <c r="F202" s="3">
        <v>15</v>
      </c>
      <c r="G202" t="s">
        <v>29</v>
      </c>
      <c r="H202" t="s">
        <v>163</v>
      </c>
      <c r="I202">
        <v>28.2</v>
      </c>
      <c r="J202" s="3">
        <v>150</v>
      </c>
      <c r="K202" t="s">
        <v>673</v>
      </c>
      <c r="L202" t="s">
        <v>674</v>
      </c>
      <c r="M202" s="4">
        <v>0.63</v>
      </c>
      <c r="N202" s="4">
        <v>0.7</v>
      </c>
    </row>
    <row r="203" spans="1:14" x14ac:dyDescent="0.4">
      <c r="A203">
        <v>202</v>
      </c>
      <c r="B203">
        <v>2010</v>
      </c>
      <c r="C203" t="s">
        <v>675</v>
      </c>
      <c r="D203" t="str">
        <f>HYPERLINK("https://ota.tournamentsoftware.com/player-profile/08DC9A3E-01AF-4CD8-8B6C-8F4F7D1BBA0B", "Link")</f>
        <v>Link</v>
      </c>
      <c r="E203" s="2">
        <v>1101.672</v>
      </c>
      <c r="F203" s="3">
        <v>9</v>
      </c>
      <c r="G203" t="s">
        <v>109</v>
      </c>
      <c r="H203" t="s">
        <v>387</v>
      </c>
      <c r="I203">
        <v>22.5</v>
      </c>
      <c r="J203" s="3">
        <v>293</v>
      </c>
      <c r="K203" t="s">
        <v>676</v>
      </c>
      <c r="L203" t="s">
        <v>677</v>
      </c>
      <c r="M203" s="4">
        <v>0.61</v>
      </c>
      <c r="N203" s="4">
        <v>0.56999999999999995</v>
      </c>
    </row>
    <row r="204" spans="1:14" x14ac:dyDescent="0.4">
      <c r="A204">
        <v>203</v>
      </c>
      <c r="B204">
        <v>2015</v>
      </c>
      <c r="C204" t="s">
        <v>678</v>
      </c>
      <c r="D204" t="str">
        <f>HYPERLINK("https://ota.tournamentsoftware.com/player-profile/3714FE82-9045-425F-937B-7104A43D57F9", "Link")</f>
        <v>Link</v>
      </c>
      <c r="E204" s="2">
        <v>1098.18</v>
      </c>
      <c r="F204" s="3">
        <v>38</v>
      </c>
      <c r="G204" t="s">
        <v>29</v>
      </c>
      <c r="H204" t="s">
        <v>679</v>
      </c>
      <c r="I204" t="s">
        <v>48</v>
      </c>
      <c r="J204" s="3">
        <v>327</v>
      </c>
      <c r="K204" t="s">
        <v>680</v>
      </c>
      <c r="L204" t="s">
        <v>681</v>
      </c>
      <c r="M204" s="4">
        <v>0.5</v>
      </c>
      <c r="N204" s="4">
        <v>0.65</v>
      </c>
    </row>
    <row r="205" spans="1:14" x14ac:dyDescent="0.4">
      <c r="A205">
        <v>204</v>
      </c>
      <c r="B205">
        <v>2012</v>
      </c>
      <c r="C205" t="s">
        <v>682</v>
      </c>
      <c r="D205" t="str">
        <f>HYPERLINK("https://ota.tournamentsoftware.com/player-profile/3FBB1729-DE66-45FA-864E-C010DC83E5AD", "Link")</f>
        <v>Link</v>
      </c>
      <c r="E205" s="2">
        <v>1097.866</v>
      </c>
      <c r="F205" s="3">
        <v>19</v>
      </c>
      <c r="G205" t="s">
        <v>109</v>
      </c>
      <c r="H205" t="s">
        <v>387</v>
      </c>
      <c r="I205">
        <v>26.5</v>
      </c>
      <c r="J205" s="3">
        <v>242</v>
      </c>
      <c r="K205" t="s">
        <v>683</v>
      </c>
      <c r="L205" t="s">
        <v>684</v>
      </c>
      <c r="M205" s="4">
        <v>0.52</v>
      </c>
      <c r="N205" s="4">
        <v>0.51</v>
      </c>
    </row>
    <row r="206" spans="1:14" x14ac:dyDescent="0.4">
      <c r="A206">
        <v>205</v>
      </c>
      <c r="B206">
        <v>2013</v>
      </c>
      <c r="C206" t="s">
        <v>685</v>
      </c>
      <c r="D206" t="str">
        <f>HYPERLINK("https://ota.tournamentsoftware.com/player-profile/1FAB3C52-8224-4122-A705-ED95AC2AE538", "Link")</f>
        <v>Link</v>
      </c>
      <c r="E206" s="2">
        <v>1096.8630000000001</v>
      </c>
      <c r="F206" s="3">
        <v>30</v>
      </c>
      <c r="G206" t="s">
        <v>29</v>
      </c>
      <c r="H206" t="s">
        <v>686</v>
      </c>
      <c r="I206">
        <v>30.2</v>
      </c>
      <c r="J206" s="3">
        <v>218</v>
      </c>
      <c r="K206" t="s">
        <v>687</v>
      </c>
      <c r="L206" t="s">
        <v>688</v>
      </c>
      <c r="M206" s="4">
        <v>0.56999999999999995</v>
      </c>
      <c r="N206" s="4">
        <v>0.62</v>
      </c>
    </row>
    <row r="207" spans="1:14" x14ac:dyDescent="0.4">
      <c r="A207">
        <v>206</v>
      </c>
      <c r="B207">
        <v>2012</v>
      </c>
      <c r="C207" t="s">
        <v>689</v>
      </c>
      <c r="D207" t="str">
        <f>HYPERLINK("https://ota.tournamentsoftware.com/player-profile/A067EDC1-6B71-4023-8C13-88CA87AA808B", "Link")</f>
        <v>Link</v>
      </c>
      <c r="E207" s="2">
        <v>1086.615</v>
      </c>
      <c r="F207" s="3">
        <v>30</v>
      </c>
      <c r="G207" t="s">
        <v>29</v>
      </c>
      <c r="H207" t="s">
        <v>16</v>
      </c>
      <c r="I207">
        <v>29.3</v>
      </c>
      <c r="J207" s="3">
        <v>191</v>
      </c>
      <c r="K207" t="s">
        <v>690</v>
      </c>
      <c r="L207" t="s">
        <v>691</v>
      </c>
      <c r="M207" s="4">
        <v>0.45</v>
      </c>
      <c r="N207" s="4">
        <v>0.49</v>
      </c>
    </row>
    <row r="208" spans="1:14" x14ac:dyDescent="0.4">
      <c r="A208">
        <v>207</v>
      </c>
      <c r="B208">
        <v>2012</v>
      </c>
      <c r="C208" t="s">
        <v>692</v>
      </c>
      <c r="D208" t="str">
        <f>HYPERLINK("https://ota.tournamentsoftware.com/player-profile/B65F75BD-7091-433B-817C-EC3472CCA6E3", "Link")</f>
        <v>Link</v>
      </c>
      <c r="E208" s="2">
        <v>1074.8209999999999</v>
      </c>
      <c r="F208" s="3">
        <v>20</v>
      </c>
      <c r="G208" t="s">
        <v>20</v>
      </c>
      <c r="H208" t="s">
        <v>16</v>
      </c>
      <c r="I208">
        <v>26</v>
      </c>
      <c r="J208" s="3">
        <v>223</v>
      </c>
      <c r="K208" t="s">
        <v>693</v>
      </c>
      <c r="L208" t="s">
        <v>411</v>
      </c>
      <c r="M208" s="4">
        <v>0.53</v>
      </c>
      <c r="N208" s="4">
        <v>0.62</v>
      </c>
    </row>
    <row r="209" spans="1:14" x14ac:dyDescent="0.4">
      <c r="A209">
        <v>208</v>
      </c>
      <c r="B209">
        <v>2013</v>
      </c>
      <c r="C209" t="s">
        <v>694</v>
      </c>
      <c r="D209" t="str">
        <f>HYPERLINK("https://ota.tournamentsoftware.com/player-profile/5CC0A57F-C369-42D6-B845-B30A38F24F56", "Link")</f>
        <v>Link</v>
      </c>
      <c r="E209" s="2">
        <v>1060.252</v>
      </c>
      <c r="F209" s="3">
        <v>13</v>
      </c>
      <c r="G209" t="s">
        <v>15</v>
      </c>
      <c r="H209" t="s">
        <v>271</v>
      </c>
      <c r="I209" t="s">
        <v>48</v>
      </c>
      <c r="J209" s="3">
        <v>209</v>
      </c>
      <c r="K209" t="s">
        <v>695</v>
      </c>
      <c r="L209" t="s">
        <v>696</v>
      </c>
      <c r="M209" s="4">
        <v>0.44</v>
      </c>
      <c r="N209" s="4">
        <v>0.43</v>
      </c>
    </row>
    <row r="210" spans="1:14" x14ac:dyDescent="0.4">
      <c r="A210">
        <v>209</v>
      </c>
      <c r="B210">
        <v>2013</v>
      </c>
      <c r="C210" t="s">
        <v>697</v>
      </c>
      <c r="D210" t="str">
        <f>HYPERLINK("https://ota.tournamentsoftware.com/player-profile/A22608C6-6D99-476C-9EC7-9A31F3CACB0A", "Link")</f>
        <v>Link</v>
      </c>
      <c r="E210" s="2">
        <v>1054.021</v>
      </c>
      <c r="F210" s="3">
        <v>22</v>
      </c>
      <c r="G210" t="s">
        <v>25</v>
      </c>
      <c r="H210" t="s">
        <v>182</v>
      </c>
      <c r="I210">
        <v>26.8</v>
      </c>
      <c r="J210" s="3">
        <v>267</v>
      </c>
      <c r="K210" t="s">
        <v>698</v>
      </c>
      <c r="L210" t="s">
        <v>699</v>
      </c>
      <c r="M210" s="4">
        <v>0.55000000000000004</v>
      </c>
      <c r="N210" s="4">
        <v>0.64</v>
      </c>
    </row>
    <row r="211" spans="1:14" x14ac:dyDescent="0.4">
      <c r="A211">
        <v>210</v>
      </c>
      <c r="B211">
        <v>2014</v>
      </c>
      <c r="C211" t="s">
        <v>700</v>
      </c>
      <c r="D211" t="str">
        <f>HYPERLINK("https://ota.tournamentsoftware.com/player-profile/1DD48A17-96B6-42F9-8D67-EE4CBF6DFA95", "Link")</f>
        <v>Link</v>
      </c>
      <c r="E211" s="2">
        <v>1049.8579999999999</v>
      </c>
      <c r="F211" s="3">
        <v>20</v>
      </c>
      <c r="G211" t="s">
        <v>20</v>
      </c>
      <c r="H211" t="s">
        <v>21</v>
      </c>
      <c r="I211">
        <v>25.9</v>
      </c>
      <c r="J211" s="3">
        <v>264</v>
      </c>
      <c r="K211" t="s">
        <v>701</v>
      </c>
      <c r="L211" t="s">
        <v>168</v>
      </c>
      <c r="M211" s="4">
        <v>0.49</v>
      </c>
      <c r="N211" s="4">
        <v>0.65</v>
      </c>
    </row>
    <row r="212" spans="1:14" x14ac:dyDescent="0.4">
      <c r="A212">
        <v>211</v>
      </c>
      <c r="B212">
        <v>2010</v>
      </c>
      <c r="C212" t="s">
        <v>702</v>
      </c>
      <c r="D212" t="str">
        <f>HYPERLINK("https://ota.tournamentsoftware.com/player-profile/99503CBA-3700-4D29-B51D-580C65FD9169", "Link")</f>
        <v>Link</v>
      </c>
      <c r="E212" s="2">
        <v>1039.569</v>
      </c>
      <c r="F212" s="3">
        <v>23</v>
      </c>
      <c r="G212" t="s">
        <v>29</v>
      </c>
      <c r="H212" t="s">
        <v>141</v>
      </c>
      <c r="I212">
        <v>27.8</v>
      </c>
      <c r="J212" s="3">
        <v>186</v>
      </c>
      <c r="K212" t="s">
        <v>703</v>
      </c>
      <c r="L212" t="s">
        <v>231</v>
      </c>
      <c r="M212" s="4">
        <v>0.51</v>
      </c>
      <c r="N212" s="4">
        <v>0.52</v>
      </c>
    </row>
    <row r="213" spans="1:14" x14ac:dyDescent="0.4">
      <c r="A213">
        <v>212</v>
      </c>
      <c r="B213">
        <v>2011</v>
      </c>
      <c r="C213" t="s">
        <v>704</v>
      </c>
      <c r="D213" t="str">
        <f>HYPERLINK("https://ota.tournamentsoftware.com/player-profile/E8EDDC6B-C394-4B8B-8114-921F518B3CC0", "Link")</f>
        <v>Link</v>
      </c>
      <c r="E213" s="2">
        <v>1033.4269999999999</v>
      </c>
      <c r="F213" s="3">
        <v>6</v>
      </c>
      <c r="G213" t="s">
        <v>25</v>
      </c>
      <c r="H213" t="s">
        <v>156</v>
      </c>
      <c r="I213">
        <v>27</v>
      </c>
      <c r="J213" s="3">
        <v>367</v>
      </c>
      <c r="K213" t="s">
        <v>705</v>
      </c>
      <c r="L213" t="s">
        <v>68</v>
      </c>
      <c r="M213" s="4">
        <v>0.59</v>
      </c>
      <c r="N213" s="4">
        <v>0.57999999999999996</v>
      </c>
    </row>
    <row r="214" spans="1:14" x14ac:dyDescent="0.4">
      <c r="A214">
        <v>213</v>
      </c>
      <c r="B214">
        <v>2012</v>
      </c>
      <c r="C214" t="s">
        <v>706</v>
      </c>
      <c r="D214" t="str">
        <f>HYPERLINK("https://ota.tournamentsoftware.com/player-profile/A86B3E87-30AA-4D57-86CF-572CF663421E", "Link")</f>
        <v>Link</v>
      </c>
      <c r="E214" s="2">
        <v>1020.42</v>
      </c>
      <c r="F214" s="3">
        <v>14</v>
      </c>
      <c r="G214" t="s">
        <v>15</v>
      </c>
      <c r="H214" t="s">
        <v>16</v>
      </c>
      <c r="I214">
        <v>30.9</v>
      </c>
      <c r="J214" s="3">
        <v>127</v>
      </c>
      <c r="K214" t="s">
        <v>707</v>
      </c>
      <c r="L214" t="s">
        <v>708</v>
      </c>
      <c r="M214" s="4">
        <v>0.53</v>
      </c>
      <c r="N214" s="4">
        <v>0.47</v>
      </c>
    </row>
    <row r="215" spans="1:14" x14ac:dyDescent="0.4">
      <c r="A215">
        <v>214</v>
      </c>
      <c r="B215">
        <v>2014</v>
      </c>
      <c r="C215" t="s">
        <v>709</v>
      </c>
      <c r="D215" t="str">
        <f>HYPERLINK("https://ota.tournamentsoftware.com/player-profile/DE909631-ADF4-4157-ABE4-0097B95C4307", "Link")</f>
        <v>Link</v>
      </c>
      <c r="E215" s="2">
        <v>1008.269</v>
      </c>
      <c r="F215" s="3">
        <v>23</v>
      </c>
      <c r="G215" t="s">
        <v>25</v>
      </c>
      <c r="H215" t="s">
        <v>311</v>
      </c>
      <c r="I215">
        <v>29.1</v>
      </c>
      <c r="J215" s="3">
        <v>224</v>
      </c>
      <c r="K215" t="s">
        <v>710</v>
      </c>
      <c r="L215" t="s">
        <v>711</v>
      </c>
      <c r="M215" s="4">
        <v>0.54</v>
      </c>
      <c r="N215" s="4">
        <v>0.6</v>
      </c>
    </row>
    <row r="216" spans="1:14" x14ac:dyDescent="0.4">
      <c r="A216">
        <v>215</v>
      </c>
      <c r="B216">
        <v>2012</v>
      </c>
      <c r="C216" t="s">
        <v>712</v>
      </c>
      <c r="D216" t="str">
        <f>HYPERLINK("https://ota.tournamentsoftware.com/player-profile/1D977DD3-331D-4977-B4D6-E3202A6C56BD", "Link")</f>
        <v>Link</v>
      </c>
      <c r="E216" s="2">
        <v>1001.811</v>
      </c>
      <c r="F216" s="3">
        <v>40</v>
      </c>
      <c r="G216" t="s">
        <v>29</v>
      </c>
      <c r="H216" t="s">
        <v>686</v>
      </c>
      <c r="I216">
        <v>29.1</v>
      </c>
      <c r="J216" s="3">
        <v>233</v>
      </c>
      <c r="K216" t="s">
        <v>713</v>
      </c>
      <c r="L216" t="s">
        <v>714</v>
      </c>
      <c r="M216" s="4">
        <v>0.49</v>
      </c>
      <c r="N216" s="4">
        <v>0.54</v>
      </c>
    </row>
    <row r="217" spans="1:14" x14ac:dyDescent="0.4">
      <c r="A217">
        <v>216</v>
      </c>
      <c r="B217">
        <v>2011</v>
      </c>
      <c r="C217" t="s">
        <v>715</v>
      </c>
      <c r="D217" t="str">
        <f>HYPERLINK("https://ota.tournamentsoftware.com/player-profile/67CCE38F-2467-4235-8721-FCF82F5D8603", "Link")</f>
        <v>Link</v>
      </c>
      <c r="E217" s="2">
        <v>990.2</v>
      </c>
      <c r="F217" s="3">
        <v>24</v>
      </c>
      <c r="G217" t="s">
        <v>29</v>
      </c>
      <c r="H217" t="s">
        <v>141</v>
      </c>
      <c r="I217">
        <v>29.8</v>
      </c>
      <c r="J217" s="3">
        <v>186</v>
      </c>
      <c r="K217" t="s">
        <v>716</v>
      </c>
      <c r="L217" t="s">
        <v>717</v>
      </c>
      <c r="M217" s="4">
        <v>0.37</v>
      </c>
      <c r="N217" s="4">
        <v>0.27</v>
      </c>
    </row>
    <row r="218" spans="1:14" x14ac:dyDescent="0.4">
      <c r="A218">
        <v>217</v>
      </c>
      <c r="B218">
        <v>2010</v>
      </c>
      <c r="C218" t="s">
        <v>718</v>
      </c>
      <c r="D218" t="str">
        <f>HYPERLINK("https://ota.tournamentsoftware.com/player-profile/4E3C455D-A053-4E0D-9EF1-80C7BB4CDEFF", "Link")</f>
        <v>Link</v>
      </c>
      <c r="E218" s="2">
        <v>988.23900000000003</v>
      </c>
      <c r="F218" s="3">
        <v>16</v>
      </c>
      <c r="G218" t="s">
        <v>25</v>
      </c>
      <c r="H218" t="s">
        <v>182</v>
      </c>
      <c r="I218">
        <v>28</v>
      </c>
      <c r="J218" s="3">
        <v>186</v>
      </c>
      <c r="K218" t="s">
        <v>719</v>
      </c>
      <c r="L218" t="s">
        <v>720</v>
      </c>
      <c r="M218" s="4">
        <v>0.47</v>
      </c>
      <c r="N218" s="4">
        <v>0.44</v>
      </c>
    </row>
    <row r="219" spans="1:14" x14ac:dyDescent="0.4">
      <c r="A219">
        <v>218</v>
      </c>
      <c r="B219">
        <v>2010</v>
      </c>
      <c r="C219" t="s">
        <v>721</v>
      </c>
      <c r="D219" t="str">
        <f>HYPERLINK("https://ota.tournamentsoftware.com/player-profile/30D1F4E0-0689-4B1B-BCA7-50D8D7A92FF5", "Link")</f>
        <v>Link</v>
      </c>
      <c r="E219" s="2">
        <v>978.31399999999996</v>
      </c>
      <c r="F219" s="3">
        <v>11</v>
      </c>
      <c r="G219" t="s">
        <v>173</v>
      </c>
      <c r="H219" t="s">
        <v>722</v>
      </c>
      <c r="I219">
        <v>31.8</v>
      </c>
      <c r="J219" s="3">
        <v>107</v>
      </c>
      <c r="K219" t="s">
        <v>723</v>
      </c>
      <c r="L219" t="s">
        <v>724</v>
      </c>
      <c r="M219" s="4">
        <v>0.3</v>
      </c>
      <c r="N219" s="4">
        <v>0.4</v>
      </c>
    </row>
    <row r="220" spans="1:14" x14ac:dyDescent="0.4">
      <c r="A220">
        <v>219</v>
      </c>
      <c r="B220">
        <v>2013</v>
      </c>
      <c r="C220" t="s">
        <v>725</v>
      </c>
      <c r="D220" t="str">
        <f>HYPERLINK("https://ota.tournamentsoftware.com/player-profile/FDFD6FEF-AD8B-4B1E-ADE3-15417E1BCF05", "Link")</f>
        <v>Link</v>
      </c>
      <c r="E220" s="2">
        <v>970.94399999999996</v>
      </c>
      <c r="F220" s="3">
        <v>18</v>
      </c>
      <c r="G220" t="s">
        <v>109</v>
      </c>
      <c r="H220" t="s">
        <v>281</v>
      </c>
      <c r="I220">
        <v>28.1</v>
      </c>
      <c r="J220" s="3">
        <v>214</v>
      </c>
      <c r="K220" t="s">
        <v>726</v>
      </c>
      <c r="L220" t="s">
        <v>727</v>
      </c>
      <c r="M220" s="4">
        <v>0.53</v>
      </c>
      <c r="N220" s="4">
        <v>0.6</v>
      </c>
    </row>
    <row r="221" spans="1:14" x14ac:dyDescent="0.4">
      <c r="A221">
        <v>220</v>
      </c>
      <c r="B221">
        <v>2011</v>
      </c>
      <c r="C221" t="s">
        <v>728</v>
      </c>
      <c r="D221" t="str">
        <f>HYPERLINK("https://ota.tournamentsoftware.com/player-profile/E9A52DE7-A358-45A5-B442-CD7893BC730F", "Link")</f>
        <v>Link</v>
      </c>
      <c r="E221" s="2">
        <v>966.78399999999999</v>
      </c>
      <c r="F221" s="3">
        <v>9</v>
      </c>
      <c r="G221" t="s">
        <v>29</v>
      </c>
      <c r="H221" t="s">
        <v>199</v>
      </c>
      <c r="I221">
        <v>26.1</v>
      </c>
      <c r="J221" s="3">
        <v>140</v>
      </c>
      <c r="K221" t="s">
        <v>729</v>
      </c>
      <c r="L221" t="s">
        <v>730</v>
      </c>
      <c r="M221" s="4">
        <v>0.44</v>
      </c>
      <c r="N221" s="4">
        <v>0.25</v>
      </c>
    </row>
    <row r="222" spans="1:14" x14ac:dyDescent="0.4">
      <c r="A222">
        <v>221</v>
      </c>
      <c r="B222">
        <v>2010</v>
      </c>
      <c r="C222" t="s">
        <v>731</v>
      </c>
      <c r="D222" t="str">
        <f>HYPERLINK("https://ota.tournamentsoftware.com/player-profile/67F3F3E6-0E44-4AA3-A430-086A9842C0D5", "Link")</f>
        <v>Link</v>
      </c>
      <c r="E222" s="2">
        <v>965.25699999999995</v>
      </c>
      <c r="F222" s="3">
        <v>5</v>
      </c>
      <c r="G222" t="s">
        <v>369</v>
      </c>
      <c r="H222" t="s">
        <v>732</v>
      </c>
      <c r="I222">
        <v>27.8</v>
      </c>
      <c r="J222" s="3">
        <v>177</v>
      </c>
      <c r="K222" t="s">
        <v>733</v>
      </c>
      <c r="L222" t="s">
        <v>734</v>
      </c>
      <c r="M222" s="4">
        <v>0.5</v>
      </c>
      <c r="N222" s="4">
        <v>0.08</v>
      </c>
    </row>
    <row r="223" spans="1:14" x14ac:dyDescent="0.4">
      <c r="A223">
        <v>222</v>
      </c>
      <c r="B223">
        <v>2012</v>
      </c>
      <c r="C223" t="s">
        <v>735</v>
      </c>
      <c r="D223" t="str">
        <f>HYPERLINK("https://ota.tournamentsoftware.com/player-profile/A0A11672-F1E8-4BD3-A43A-BB82984EDDA5", "Link")</f>
        <v>Link</v>
      </c>
      <c r="E223" s="2">
        <v>959.69100000000003</v>
      </c>
      <c r="F223" s="3">
        <v>17</v>
      </c>
      <c r="G223" t="s">
        <v>20</v>
      </c>
      <c r="H223" t="s">
        <v>736</v>
      </c>
      <c r="I223">
        <v>26</v>
      </c>
      <c r="J223" s="3">
        <v>235</v>
      </c>
      <c r="K223" t="s">
        <v>737</v>
      </c>
      <c r="L223" t="s">
        <v>451</v>
      </c>
      <c r="M223" s="4">
        <v>0.55000000000000004</v>
      </c>
      <c r="N223" s="4">
        <v>0.6</v>
      </c>
    </row>
    <row r="224" spans="1:14" x14ac:dyDescent="0.4">
      <c r="A224">
        <v>223</v>
      </c>
      <c r="B224">
        <v>2015</v>
      </c>
      <c r="C224" t="s">
        <v>738</v>
      </c>
      <c r="D224" t="str">
        <f>HYPERLINK("https://ota.tournamentsoftware.com/player-profile/193F9EEB-1528-48A2-A0D8-C6448E62254A", "Link")</f>
        <v>Link</v>
      </c>
      <c r="E224" s="2">
        <v>945.34900000000005</v>
      </c>
      <c r="F224" s="3">
        <v>19</v>
      </c>
      <c r="G224" t="s">
        <v>20</v>
      </c>
      <c r="H224" t="s">
        <v>736</v>
      </c>
      <c r="I224">
        <v>26.9</v>
      </c>
      <c r="J224" s="3">
        <v>271</v>
      </c>
      <c r="K224" t="s">
        <v>739</v>
      </c>
      <c r="L224" t="s">
        <v>740</v>
      </c>
      <c r="M224" s="4">
        <v>0.56000000000000005</v>
      </c>
      <c r="N224" s="4">
        <v>0.65</v>
      </c>
    </row>
    <row r="225" spans="1:14" x14ac:dyDescent="0.4">
      <c r="A225">
        <v>224</v>
      </c>
      <c r="B225">
        <v>2015</v>
      </c>
      <c r="C225" t="s">
        <v>741</v>
      </c>
      <c r="D225" t="str">
        <f>HYPERLINK("https://ota.tournamentsoftware.com/player-profile/B6BFAEC0-924F-4635-B45C-E700061D4B03", "Link")</f>
        <v>Link</v>
      </c>
      <c r="E225" s="2">
        <v>944.74699999999996</v>
      </c>
      <c r="F225" s="3">
        <v>12</v>
      </c>
      <c r="G225" t="s">
        <v>15</v>
      </c>
      <c r="H225" t="s">
        <v>271</v>
      </c>
      <c r="I225">
        <v>30.8</v>
      </c>
      <c r="J225" s="3">
        <v>171</v>
      </c>
      <c r="K225" t="s">
        <v>742</v>
      </c>
      <c r="L225" t="s">
        <v>743</v>
      </c>
      <c r="M225" s="4">
        <v>0.53</v>
      </c>
      <c r="N225" s="4">
        <v>0.6</v>
      </c>
    </row>
    <row r="226" spans="1:14" x14ac:dyDescent="0.4">
      <c r="A226">
        <v>225</v>
      </c>
      <c r="B226">
        <v>2012</v>
      </c>
      <c r="C226" t="s">
        <v>744</v>
      </c>
      <c r="D226" t="str">
        <f>HYPERLINK("https://ota.tournamentsoftware.com/player-profile/49340E93-6E30-4683-9E0F-4D50A1C584F1", "Link")</f>
        <v>Link</v>
      </c>
      <c r="E226" s="2">
        <v>932.87199999999996</v>
      </c>
      <c r="F226" s="3">
        <v>30</v>
      </c>
      <c r="G226" t="s">
        <v>29</v>
      </c>
      <c r="H226" t="s">
        <v>394</v>
      </c>
      <c r="I226" t="s">
        <v>48</v>
      </c>
      <c r="J226" s="3">
        <v>197</v>
      </c>
      <c r="K226" t="s">
        <v>745</v>
      </c>
      <c r="L226" t="s">
        <v>746</v>
      </c>
      <c r="M226" s="4">
        <v>0.4</v>
      </c>
      <c r="N226" s="4">
        <v>0.34</v>
      </c>
    </row>
    <row r="227" spans="1:14" x14ac:dyDescent="0.4">
      <c r="A227">
        <v>226</v>
      </c>
      <c r="B227">
        <v>2010</v>
      </c>
      <c r="C227" t="s">
        <v>747</v>
      </c>
      <c r="D227" t="str">
        <f>HYPERLINK("https://ota.tournamentsoftware.com/player-profile/2DC95A5B-FBA7-4CA0-82B8-9676F64E0CB2", "Link")</f>
        <v>Link</v>
      </c>
      <c r="E227" s="2">
        <v>932.61900000000003</v>
      </c>
      <c r="F227" s="3">
        <v>20</v>
      </c>
      <c r="G227" t="s">
        <v>25</v>
      </c>
      <c r="H227" t="s">
        <v>60</v>
      </c>
      <c r="I227">
        <v>28</v>
      </c>
      <c r="J227" s="3">
        <v>346</v>
      </c>
      <c r="K227" t="s">
        <v>748</v>
      </c>
      <c r="L227" t="s">
        <v>749</v>
      </c>
      <c r="M227" s="4">
        <v>0.39</v>
      </c>
      <c r="N227" s="4">
        <v>0.53</v>
      </c>
    </row>
    <row r="228" spans="1:14" x14ac:dyDescent="0.4">
      <c r="A228">
        <v>227</v>
      </c>
      <c r="B228">
        <v>2010</v>
      </c>
      <c r="C228" t="s">
        <v>750</v>
      </c>
      <c r="D228" t="str">
        <f>HYPERLINK("https://ota.tournamentsoftware.com/player-profile/B0F1913E-75B3-4E65-8779-07373A459D6A", "Link")</f>
        <v>Link</v>
      </c>
      <c r="E228" s="2">
        <v>927.64200000000005</v>
      </c>
      <c r="F228" s="3">
        <v>26</v>
      </c>
      <c r="G228" t="s">
        <v>29</v>
      </c>
      <c r="H228" t="s">
        <v>394</v>
      </c>
      <c r="I228">
        <v>29.6</v>
      </c>
      <c r="J228" s="3">
        <v>170</v>
      </c>
      <c r="K228" t="s">
        <v>751</v>
      </c>
      <c r="L228" t="s">
        <v>752</v>
      </c>
      <c r="M228" s="4">
        <v>0.31</v>
      </c>
      <c r="N228" s="4">
        <v>0.28000000000000003</v>
      </c>
    </row>
    <row r="229" spans="1:14" x14ac:dyDescent="0.4">
      <c r="A229">
        <v>228</v>
      </c>
      <c r="B229">
        <v>2011</v>
      </c>
      <c r="C229" t="s">
        <v>753</v>
      </c>
      <c r="D229" t="str">
        <f>HYPERLINK("https://ota.tournamentsoftware.com/player-profile/71ECE5D4-942F-492F-B9D6-78709C028DA4", "Link")</f>
        <v>Link</v>
      </c>
      <c r="E229" s="2">
        <v>926.45699999999999</v>
      </c>
      <c r="F229" s="3">
        <v>23</v>
      </c>
      <c r="G229" t="s">
        <v>25</v>
      </c>
      <c r="H229" t="s">
        <v>754</v>
      </c>
      <c r="I229">
        <v>30.1</v>
      </c>
      <c r="J229" s="3">
        <v>223</v>
      </c>
      <c r="K229" t="s">
        <v>755</v>
      </c>
      <c r="L229" t="s">
        <v>756</v>
      </c>
      <c r="M229" s="4">
        <v>0.44</v>
      </c>
      <c r="N229" s="4">
        <v>0.38</v>
      </c>
    </row>
    <row r="230" spans="1:14" x14ac:dyDescent="0.4">
      <c r="A230">
        <v>229</v>
      </c>
      <c r="B230">
        <v>2010</v>
      </c>
      <c r="C230" t="s">
        <v>757</v>
      </c>
      <c r="D230" t="str">
        <f>HYPERLINK("https://ota.tournamentsoftware.com/player-profile/773884EA-FF2B-464C-AD9E-7E98C67E4908", "Link")</f>
        <v>Link</v>
      </c>
      <c r="E230" s="2">
        <v>906.875</v>
      </c>
      <c r="F230" s="3">
        <v>19</v>
      </c>
      <c r="G230" t="s">
        <v>109</v>
      </c>
      <c r="H230" t="s">
        <v>110</v>
      </c>
      <c r="I230">
        <v>25.8</v>
      </c>
      <c r="J230" s="3">
        <v>265</v>
      </c>
      <c r="K230" t="s">
        <v>758</v>
      </c>
      <c r="L230" t="s">
        <v>746</v>
      </c>
      <c r="M230" s="4">
        <v>0.33</v>
      </c>
      <c r="N230" s="4">
        <v>0.34</v>
      </c>
    </row>
    <row r="231" spans="1:14" x14ac:dyDescent="0.4">
      <c r="A231">
        <v>230</v>
      </c>
      <c r="B231">
        <v>2013</v>
      </c>
      <c r="C231" t="s">
        <v>759</v>
      </c>
      <c r="D231" t="str">
        <f>HYPERLINK("https://ota.tournamentsoftware.com/player-profile/DB56F65D-8A18-4169-BE31-18F89B25E14B", "Link")</f>
        <v>Link</v>
      </c>
      <c r="E231" s="2">
        <v>897.64300000000003</v>
      </c>
      <c r="F231" s="3">
        <v>37</v>
      </c>
      <c r="G231" t="s">
        <v>29</v>
      </c>
      <c r="H231" t="s">
        <v>163</v>
      </c>
      <c r="I231">
        <v>30.2</v>
      </c>
      <c r="J231" s="3">
        <v>231</v>
      </c>
      <c r="K231" t="s">
        <v>760</v>
      </c>
      <c r="L231" t="s">
        <v>761</v>
      </c>
      <c r="M231" s="4">
        <v>0.52</v>
      </c>
      <c r="N231" s="4">
        <v>0.46</v>
      </c>
    </row>
    <row r="232" spans="1:14" x14ac:dyDescent="0.4">
      <c r="A232">
        <v>231</v>
      </c>
      <c r="B232">
        <v>2013</v>
      </c>
      <c r="C232" t="s">
        <v>762</v>
      </c>
      <c r="D232" t="str">
        <f>HYPERLINK("https://ota.tournamentsoftware.com/player-profile/FA2D2790-6EBD-4928-94F7-17F54621E2B4", "Link")</f>
        <v>Link</v>
      </c>
      <c r="E232" s="2">
        <v>896.61800000000005</v>
      </c>
      <c r="F232" s="3">
        <v>35</v>
      </c>
      <c r="G232" t="s">
        <v>29</v>
      </c>
      <c r="H232" t="s">
        <v>16</v>
      </c>
      <c r="I232">
        <v>28.2</v>
      </c>
      <c r="J232" s="3">
        <v>219</v>
      </c>
      <c r="K232" t="s">
        <v>763</v>
      </c>
      <c r="L232" t="s">
        <v>764</v>
      </c>
      <c r="M232" s="4">
        <v>0.57999999999999996</v>
      </c>
      <c r="N232" s="4">
        <v>0.61</v>
      </c>
    </row>
    <row r="233" spans="1:14" x14ac:dyDescent="0.4">
      <c r="A233">
        <v>232</v>
      </c>
      <c r="B233">
        <v>2011</v>
      </c>
      <c r="C233" t="s">
        <v>765</v>
      </c>
      <c r="D233" t="str">
        <f>HYPERLINK("https://ota.tournamentsoftware.com/player-profile/4E747776-D8D1-4933-A874-DE50F66F3640", "Link")</f>
        <v>Link</v>
      </c>
      <c r="E233" s="2">
        <v>891.22900000000004</v>
      </c>
      <c r="F233" s="3">
        <v>32</v>
      </c>
      <c r="G233" t="s">
        <v>25</v>
      </c>
      <c r="H233" t="s">
        <v>766</v>
      </c>
      <c r="I233">
        <v>29.7</v>
      </c>
      <c r="J233" s="3">
        <v>197</v>
      </c>
      <c r="K233" t="s">
        <v>767</v>
      </c>
      <c r="L233" t="s">
        <v>768</v>
      </c>
      <c r="M233" s="4">
        <v>0.47</v>
      </c>
      <c r="N233" s="4">
        <v>0.39</v>
      </c>
    </row>
    <row r="234" spans="1:14" x14ac:dyDescent="0.4">
      <c r="A234">
        <v>233</v>
      </c>
      <c r="B234">
        <v>2014</v>
      </c>
      <c r="C234" t="s">
        <v>769</v>
      </c>
      <c r="D234" t="str">
        <f>HYPERLINK("https://ota.tournamentsoftware.com/player-profile/20DDEF60-3700-4387-8C53-C32DB7F857D4", "Link")</f>
        <v>Link</v>
      </c>
      <c r="E234" s="2">
        <v>884.4</v>
      </c>
      <c r="F234" s="3">
        <v>4</v>
      </c>
      <c r="G234" t="s">
        <v>29</v>
      </c>
      <c r="H234" t="s">
        <v>16</v>
      </c>
      <c r="I234">
        <v>26.6</v>
      </c>
      <c r="J234" s="3">
        <v>26</v>
      </c>
      <c r="K234" t="s">
        <v>770</v>
      </c>
      <c r="L234" t="s">
        <v>771</v>
      </c>
      <c r="M234" s="4">
        <v>0.92</v>
      </c>
      <c r="N234" s="4">
        <v>0.93</v>
      </c>
    </row>
    <row r="235" spans="1:14" x14ac:dyDescent="0.4">
      <c r="A235">
        <v>234</v>
      </c>
      <c r="B235">
        <v>2011</v>
      </c>
      <c r="C235" t="s">
        <v>772</v>
      </c>
      <c r="D235" t="str">
        <f>HYPERLINK("https://ota.tournamentsoftware.com/player-profile/59DA541A-4DCE-4FAC-A2DF-23385929C9BE", "Link")</f>
        <v>Link</v>
      </c>
      <c r="E235" s="2">
        <v>883.65200000000004</v>
      </c>
      <c r="F235" s="3">
        <v>25</v>
      </c>
      <c r="G235" t="s">
        <v>25</v>
      </c>
      <c r="H235" t="s">
        <v>311</v>
      </c>
      <c r="I235">
        <v>26.8</v>
      </c>
      <c r="J235" s="3">
        <v>494</v>
      </c>
      <c r="K235" t="s">
        <v>773</v>
      </c>
      <c r="L235" t="s">
        <v>774</v>
      </c>
      <c r="M235" s="4">
        <v>0.49</v>
      </c>
      <c r="N235" s="4">
        <v>0.49</v>
      </c>
    </row>
    <row r="236" spans="1:14" x14ac:dyDescent="0.4">
      <c r="A236">
        <v>235</v>
      </c>
      <c r="B236">
        <v>2011</v>
      </c>
      <c r="C236" t="s">
        <v>775</v>
      </c>
      <c r="D236" t="str">
        <f>HYPERLINK("https://ota.tournamentsoftware.com/player-profile/5F073DD4-B1AA-408D-911A-20A5E52E3098", "Link")</f>
        <v>Link</v>
      </c>
      <c r="E236" s="2">
        <v>877.56899999999996</v>
      </c>
      <c r="F236" s="3">
        <v>9</v>
      </c>
      <c r="G236" t="s">
        <v>29</v>
      </c>
      <c r="H236" t="s">
        <v>145</v>
      </c>
      <c r="I236">
        <v>29.7</v>
      </c>
      <c r="J236" s="3">
        <v>185</v>
      </c>
      <c r="K236" t="s">
        <v>776</v>
      </c>
      <c r="L236" t="s">
        <v>777</v>
      </c>
      <c r="M236" s="4">
        <v>0.39</v>
      </c>
      <c r="N236" s="4">
        <v>0.21</v>
      </c>
    </row>
    <row r="237" spans="1:14" x14ac:dyDescent="0.4">
      <c r="A237">
        <v>236</v>
      </c>
      <c r="B237">
        <v>2015</v>
      </c>
      <c r="C237" t="s">
        <v>778</v>
      </c>
      <c r="D237" t="str">
        <f>HYPERLINK("https://ota.tournamentsoftware.com/player-profile/57736008-B9CA-4FCE-BEF6-90222787F336", "Link")</f>
        <v>Link</v>
      </c>
      <c r="E237" s="2">
        <v>865.31500000000005</v>
      </c>
      <c r="F237" s="3">
        <v>17</v>
      </c>
      <c r="G237" t="s">
        <v>29</v>
      </c>
      <c r="H237" t="s">
        <v>349</v>
      </c>
      <c r="I237">
        <v>27.5</v>
      </c>
      <c r="J237" s="3">
        <v>224</v>
      </c>
      <c r="K237" t="s">
        <v>779</v>
      </c>
      <c r="L237" t="s">
        <v>780</v>
      </c>
      <c r="M237" s="4">
        <v>0.7</v>
      </c>
      <c r="N237" s="4">
        <v>0.8</v>
      </c>
    </row>
    <row r="238" spans="1:14" x14ac:dyDescent="0.4">
      <c r="A238">
        <v>237</v>
      </c>
      <c r="B238">
        <v>2013</v>
      </c>
      <c r="C238" t="s">
        <v>781</v>
      </c>
      <c r="D238" t="str">
        <f>HYPERLINK("https://ota.tournamentsoftware.com/player-profile/52158395-8ADB-4430-ABAA-C56A79756D09", "Link")</f>
        <v>Link</v>
      </c>
      <c r="E238" s="2">
        <v>859.96</v>
      </c>
      <c r="F238" s="3">
        <v>37</v>
      </c>
      <c r="G238" t="s">
        <v>29</v>
      </c>
      <c r="H238" t="s">
        <v>16</v>
      </c>
      <c r="I238" t="s">
        <v>48</v>
      </c>
      <c r="J238" s="3">
        <v>366</v>
      </c>
      <c r="K238" t="s">
        <v>782</v>
      </c>
      <c r="L238" t="s">
        <v>783</v>
      </c>
      <c r="M238" s="4">
        <v>0.61</v>
      </c>
      <c r="N238" s="4">
        <v>0.6</v>
      </c>
    </row>
    <row r="239" spans="1:14" x14ac:dyDescent="0.4">
      <c r="A239">
        <v>238</v>
      </c>
      <c r="B239">
        <v>2011</v>
      </c>
      <c r="C239" t="s">
        <v>784</v>
      </c>
      <c r="D239" t="str">
        <f>HYPERLINK("https://ota.tournamentsoftware.com/player-profile/39B2339D-BD4D-4953-8D78-7F19E50FF96B", "Link")</f>
        <v>Link</v>
      </c>
      <c r="E239" s="2">
        <v>859.00699999999995</v>
      </c>
      <c r="F239" s="3">
        <v>16</v>
      </c>
      <c r="G239" t="s">
        <v>25</v>
      </c>
      <c r="H239" t="s">
        <v>182</v>
      </c>
      <c r="I239">
        <v>24.8</v>
      </c>
      <c r="J239" s="3">
        <v>311</v>
      </c>
      <c r="K239" t="s">
        <v>785</v>
      </c>
      <c r="L239" t="s">
        <v>786</v>
      </c>
      <c r="M239" s="4">
        <v>0.41</v>
      </c>
      <c r="N239" s="4">
        <v>0.5</v>
      </c>
    </row>
    <row r="240" spans="1:14" x14ac:dyDescent="0.4">
      <c r="A240">
        <v>239</v>
      </c>
      <c r="B240">
        <v>2012</v>
      </c>
      <c r="C240" t="s">
        <v>787</v>
      </c>
      <c r="D240" t="str">
        <f>HYPERLINK("https://ota.tournamentsoftware.com/player-profile/1D5E0C32-9DDE-4B44-ADF9-FDB75BF638BC", "Link")</f>
        <v>Link</v>
      </c>
      <c r="E240" s="2">
        <v>856.14099999999996</v>
      </c>
      <c r="F240" s="3">
        <v>21</v>
      </c>
      <c r="G240" t="s">
        <v>29</v>
      </c>
      <c r="H240" t="s">
        <v>16</v>
      </c>
      <c r="I240">
        <v>25.6</v>
      </c>
      <c r="J240" s="3">
        <v>206</v>
      </c>
      <c r="K240" t="s">
        <v>788</v>
      </c>
      <c r="L240" t="s">
        <v>789</v>
      </c>
      <c r="M240" s="4">
        <v>0.52</v>
      </c>
      <c r="N240" s="4">
        <v>0.67</v>
      </c>
    </row>
    <row r="241" spans="1:14" x14ac:dyDescent="0.4">
      <c r="A241">
        <v>240</v>
      </c>
      <c r="B241">
        <v>2012</v>
      </c>
      <c r="C241" t="s">
        <v>790</v>
      </c>
      <c r="D241" t="str">
        <f>HYPERLINK("https://ota.tournamentsoftware.com/player-profile/A56DDC7B-03D0-424A-907D-63A363906F9A", "Link")</f>
        <v>Link</v>
      </c>
      <c r="E241" s="2">
        <v>851.11099999999999</v>
      </c>
      <c r="F241" s="3">
        <v>13</v>
      </c>
      <c r="G241" t="s">
        <v>25</v>
      </c>
      <c r="H241" t="s">
        <v>16</v>
      </c>
      <c r="I241">
        <v>27.9</v>
      </c>
      <c r="J241" s="3">
        <v>235</v>
      </c>
      <c r="K241" t="s">
        <v>791</v>
      </c>
      <c r="L241" t="s">
        <v>442</v>
      </c>
      <c r="M241" s="4">
        <v>0.47</v>
      </c>
      <c r="N241" s="4">
        <v>0.64</v>
      </c>
    </row>
    <row r="242" spans="1:14" x14ac:dyDescent="0.4">
      <c r="A242">
        <v>241</v>
      </c>
      <c r="B242">
        <v>2013</v>
      </c>
      <c r="C242" t="s">
        <v>792</v>
      </c>
      <c r="D242" t="str">
        <f>HYPERLINK("https://ota.tournamentsoftware.com/player-profile/DBA36429-C15E-4F24-9832-7D6BA94887C6", "Link")</f>
        <v>Link</v>
      </c>
      <c r="E242" s="2">
        <v>850.005</v>
      </c>
      <c r="F242" s="3">
        <v>25</v>
      </c>
      <c r="G242" t="s">
        <v>25</v>
      </c>
      <c r="H242" t="s">
        <v>99</v>
      </c>
      <c r="I242">
        <v>26.6</v>
      </c>
      <c r="J242" s="3">
        <v>133</v>
      </c>
      <c r="K242" t="s">
        <v>793</v>
      </c>
      <c r="L242" t="s">
        <v>794</v>
      </c>
      <c r="M242" s="4">
        <v>0.47</v>
      </c>
      <c r="N242" s="4">
        <v>0.55000000000000004</v>
      </c>
    </row>
    <row r="243" spans="1:14" x14ac:dyDescent="0.4">
      <c r="A243">
        <v>242</v>
      </c>
      <c r="B243">
        <v>2010</v>
      </c>
      <c r="C243" t="s">
        <v>795</v>
      </c>
      <c r="D243" t="str">
        <f>HYPERLINK("https://ota.tournamentsoftware.com/player-profile/1FC691F8-C1C6-4FC5-8B0C-DC6D725472E1", "Link")</f>
        <v>Link</v>
      </c>
      <c r="E243" s="2">
        <v>846.45</v>
      </c>
      <c r="F243" s="3">
        <v>15</v>
      </c>
      <c r="G243" t="s">
        <v>29</v>
      </c>
      <c r="H243" t="s">
        <v>796</v>
      </c>
      <c r="I243" t="s">
        <v>48</v>
      </c>
      <c r="J243" s="3">
        <v>299</v>
      </c>
      <c r="K243" t="s">
        <v>797</v>
      </c>
      <c r="L243" t="s">
        <v>235</v>
      </c>
      <c r="M243" s="4">
        <v>0.35</v>
      </c>
      <c r="N243" s="4">
        <v>0.56999999999999995</v>
      </c>
    </row>
    <row r="244" spans="1:14" x14ac:dyDescent="0.4">
      <c r="A244">
        <v>243</v>
      </c>
      <c r="B244">
        <v>2010</v>
      </c>
      <c r="C244" t="s">
        <v>798</v>
      </c>
      <c r="D244" t="str">
        <f>HYPERLINK("https://ota.tournamentsoftware.com/player-profile/C2DFC0C4-2772-4005-A3B4-8F64EE97E7BB", "Link")</f>
        <v>Link</v>
      </c>
      <c r="E244" s="2">
        <v>844</v>
      </c>
      <c r="F244" s="3">
        <v>2</v>
      </c>
      <c r="G244" t="s">
        <v>25</v>
      </c>
      <c r="H244" t="s">
        <v>240</v>
      </c>
      <c r="I244" t="s">
        <v>48</v>
      </c>
      <c r="J244" s="3">
        <v>7</v>
      </c>
      <c r="K244" t="s">
        <v>799</v>
      </c>
      <c r="L244" t="s">
        <v>799</v>
      </c>
      <c r="M244" s="4">
        <v>1</v>
      </c>
      <c r="N244" s="4">
        <v>1</v>
      </c>
    </row>
    <row r="245" spans="1:14" x14ac:dyDescent="0.4">
      <c r="A245">
        <v>244</v>
      </c>
      <c r="B245">
        <v>2011</v>
      </c>
      <c r="C245" t="s">
        <v>800</v>
      </c>
      <c r="D245" t="str">
        <f>HYPERLINK("https://ota.tournamentsoftware.com/player-profile/BA8B2370-348C-4914-B488-CC67E73BFAF6", "Link")</f>
        <v>Link</v>
      </c>
      <c r="E245" s="2">
        <v>842.52</v>
      </c>
      <c r="F245" s="3">
        <v>19</v>
      </c>
      <c r="G245" t="s">
        <v>20</v>
      </c>
      <c r="H245" t="s">
        <v>43</v>
      </c>
      <c r="I245">
        <v>26.7</v>
      </c>
      <c r="J245" s="3">
        <v>146</v>
      </c>
      <c r="K245" t="s">
        <v>801</v>
      </c>
      <c r="L245" t="s">
        <v>802</v>
      </c>
      <c r="M245" s="4">
        <v>0.45</v>
      </c>
      <c r="N245" s="4">
        <v>0.64</v>
      </c>
    </row>
    <row r="246" spans="1:14" x14ac:dyDescent="0.4">
      <c r="A246">
        <v>245</v>
      </c>
      <c r="B246">
        <v>2010</v>
      </c>
      <c r="C246" t="s">
        <v>803</v>
      </c>
      <c r="D246" t="str">
        <f>HYPERLINK("https://ota.tournamentsoftware.com/player-profile/1D835A43-B10F-47EF-9787-A76128ACDA69", "Link")</f>
        <v>Link</v>
      </c>
      <c r="E246" s="2">
        <v>840.68899999999996</v>
      </c>
      <c r="F246" s="3">
        <v>13</v>
      </c>
      <c r="G246" t="s">
        <v>109</v>
      </c>
      <c r="H246" t="s">
        <v>387</v>
      </c>
      <c r="I246" t="s">
        <v>48</v>
      </c>
      <c r="J246" s="3">
        <v>241</v>
      </c>
      <c r="K246" t="s">
        <v>804</v>
      </c>
      <c r="L246" t="s">
        <v>805</v>
      </c>
      <c r="M246" s="4">
        <v>0.52</v>
      </c>
      <c r="N246" s="4">
        <v>0.53</v>
      </c>
    </row>
    <row r="247" spans="1:14" x14ac:dyDescent="0.4">
      <c r="A247">
        <v>246</v>
      </c>
      <c r="B247">
        <v>2012</v>
      </c>
      <c r="C247" t="s">
        <v>806</v>
      </c>
      <c r="D247" t="str">
        <f>HYPERLINK("https://ota.tournamentsoftware.com/player-profile/9E3A15EA-D947-4048-B7A7-6C2437D34132", "Link")</f>
        <v>Link</v>
      </c>
      <c r="E247" s="2">
        <v>836.91600000000005</v>
      </c>
      <c r="F247" s="3">
        <v>36</v>
      </c>
      <c r="G247" t="s">
        <v>25</v>
      </c>
      <c r="H247" t="s">
        <v>182</v>
      </c>
      <c r="I247">
        <v>28.8</v>
      </c>
      <c r="J247" s="3">
        <v>345</v>
      </c>
      <c r="K247" t="s">
        <v>807</v>
      </c>
      <c r="L247" t="s">
        <v>553</v>
      </c>
      <c r="M247" s="4">
        <v>0.38</v>
      </c>
      <c r="N247" s="4">
        <v>0.45</v>
      </c>
    </row>
    <row r="248" spans="1:14" x14ac:dyDescent="0.4">
      <c r="A248">
        <v>247</v>
      </c>
      <c r="B248">
        <v>2014</v>
      </c>
      <c r="C248" t="s">
        <v>808</v>
      </c>
      <c r="D248" t="str">
        <f>HYPERLINK("https://ota.tournamentsoftware.com/player-profile/98546C72-5CCA-44E8-AFB9-20B9D560E5E3", "Link")</f>
        <v>Link</v>
      </c>
      <c r="E248" s="2">
        <v>835.51499999999999</v>
      </c>
      <c r="F248" s="3">
        <v>16</v>
      </c>
      <c r="G248" t="s">
        <v>20</v>
      </c>
      <c r="H248" t="s">
        <v>809</v>
      </c>
      <c r="I248">
        <v>27.7</v>
      </c>
      <c r="J248" s="3">
        <v>206</v>
      </c>
      <c r="K248" t="s">
        <v>810</v>
      </c>
      <c r="L248" t="s">
        <v>811</v>
      </c>
      <c r="M248" s="4">
        <v>0.72</v>
      </c>
      <c r="N248" s="4">
        <v>0.6</v>
      </c>
    </row>
    <row r="249" spans="1:14" x14ac:dyDescent="0.4">
      <c r="A249">
        <v>248</v>
      </c>
      <c r="B249">
        <v>2012</v>
      </c>
      <c r="C249" t="s">
        <v>812</v>
      </c>
      <c r="D249" t="str">
        <f>HYPERLINK("https://ota.tournamentsoftware.com/player-profile/0D20CA06-CC79-483F-87DD-AD6F5FC76972", "Link")</f>
        <v>Link</v>
      </c>
      <c r="E249" s="2">
        <v>834.88</v>
      </c>
      <c r="F249" s="3">
        <v>5</v>
      </c>
      <c r="G249" t="s">
        <v>29</v>
      </c>
      <c r="H249" t="s">
        <v>813</v>
      </c>
      <c r="I249">
        <v>24.5</v>
      </c>
      <c r="J249" s="3">
        <v>87</v>
      </c>
      <c r="K249" t="s">
        <v>814</v>
      </c>
      <c r="L249" t="s">
        <v>815</v>
      </c>
      <c r="M249" s="4">
        <v>0.77</v>
      </c>
      <c r="N249" s="4">
        <v>0.81</v>
      </c>
    </row>
    <row r="250" spans="1:14" x14ac:dyDescent="0.4">
      <c r="A250">
        <v>249</v>
      </c>
      <c r="B250">
        <v>2014</v>
      </c>
      <c r="C250" t="s">
        <v>816</v>
      </c>
      <c r="D250" t="str">
        <f>HYPERLINK("https://ota.tournamentsoftware.com/player-profile/16F3FDF7-F098-4A63-9D5F-87B196D248B5", "Link")</f>
        <v>Link</v>
      </c>
      <c r="E250" s="2">
        <v>821.77700000000004</v>
      </c>
      <c r="F250" s="3">
        <v>23</v>
      </c>
      <c r="G250" t="s">
        <v>29</v>
      </c>
      <c r="H250" t="s">
        <v>91</v>
      </c>
      <c r="I250">
        <v>28.5</v>
      </c>
      <c r="J250" s="3">
        <v>288</v>
      </c>
      <c r="K250" t="s">
        <v>817</v>
      </c>
      <c r="L250" t="s">
        <v>818</v>
      </c>
      <c r="M250" s="4">
        <v>0.59</v>
      </c>
      <c r="N250" s="4">
        <v>0.56000000000000005</v>
      </c>
    </row>
    <row r="251" spans="1:14" x14ac:dyDescent="0.4">
      <c r="A251">
        <v>250</v>
      </c>
      <c r="B251">
        <v>2012</v>
      </c>
      <c r="C251" t="s">
        <v>819</v>
      </c>
      <c r="D251" t="str">
        <f>HYPERLINK("https://ota.tournamentsoftware.com/player-profile/7A8D0D40-A77C-429C-81D6-05DC21DB8D28", "Link")</f>
        <v>Link</v>
      </c>
      <c r="E251" s="2">
        <v>816.50400000000002</v>
      </c>
      <c r="F251" s="3">
        <v>18</v>
      </c>
      <c r="G251" t="s">
        <v>29</v>
      </c>
      <c r="H251" t="s">
        <v>199</v>
      </c>
      <c r="I251">
        <v>28.4</v>
      </c>
      <c r="J251" s="3">
        <v>145</v>
      </c>
      <c r="K251" t="s">
        <v>820</v>
      </c>
      <c r="L251" t="s">
        <v>821</v>
      </c>
      <c r="M251" s="4">
        <v>0.5</v>
      </c>
      <c r="N251" s="4">
        <v>0.72</v>
      </c>
    </row>
    <row r="252" spans="1:14" x14ac:dyDescent="0.4">
      <c r="A252">
        <v>251</v>
      </c>
      <c r="B252">
        <v>2011</v>
      </c>
      <c r="C252" t="s">
        <v>822</v>
      </c>
      <c r="D252" t="str">
        <f>HYPERLINK("https://ota.tournamentsoftware.com/player-profile/599B4E31-E257-45A6-ACF9-0FBF13461682", "Link")</f>
        <v>Link</v>
      </c>
      <c r="E252" s="2">
        <v>808.40599999999995</v>
      </c>
      <c r="F252" s="3">
        <v>27</v>
      </c>
      <c r="G252" t="s">
        <v>29</v>
      </c>
      <c r="H252" t="s">
        <v>471</v>
      </c>
      <c r="I252">
        <v>32.5</v>
      </c>
      <c r="J252" s="3">
        <v>132</v>
      </c>
      <c r="K252" t="s">
        <v>823</v>
      </c>
      <c r="L252" t="s">
        <v>824</v>
      </c>
      <c r="M252" s="4">
        <v>0.44</v>
      </c>
      <c r="N252" s="4">
        <v>0.41</v>
      </c>
    </row>
    <row r="253" spans="1:14" x14ac:dyDescent="0.4">
      <c r="A253">
        <v>252</v>
      </c>
      <c r="B253">
        <v>2010</v>
      </c>
      <c r="C253" t="s">
        <v>825</v>
      </c>
      <c r="D253" t="str">
        <f>HYPERLINK("https://ota.tournamentsoftware.com/player-profile/5ED3CD96-1C82-42EC-87A8-44D94953A60B", "Link")</f>
        <v>Link</v>
      </c>
      <c r="E253" s="2">
        <v>807.93600000000004</v>
      </c>
      <c r="F253" s="3">
        <v>13</v>
      </c>
      <c r="G253" t="s">
        <v>109</v>
      </c>
      <c r="H253" t="s">
        <v>110</v>
      </c>
      <c r="I253">
        <v>29.9</v>
      </c>
      <c r="J253" s="3">
        <v>155</v>
      </c>
      <c r="K253" t="s">
        <v>826</v>
      </c>
      <c r="L253" t="s">
        <v>827</v>
      </c>
      <c r="M253" s="4">
        <v>0.3</v>
      </c>
      <c r="N253" s="4">
        <v>0.33</v>
      </c>
    </row>
    <row r="254" spans="1:14" x14ac:dyDescent="0.4">
      <c r="A254">
        <v>253</v>
      </c>
      <c r="B254">
        <v>2011</v>
      </c>
      <c r="C254" t="s">
        <v>828</v>
      </c>
      <c r="D254" t="str">
        <f>HYPERLINK("https://ota.tournamentsoftware.com/player-profile/74528426-8FD0-4E49-AFE3-EF0415A095F3", "Link")</f>
        <v>Link</v>
      </c>
      <c r="E254" s="2">
        <v>795.39800000000002</v>
      </c>
      <c r="F254" s="3">
        <v>10</v>
      </c>
      <c r="G254" t="s">
        <v>25</v>
      </c>
      <c r="H254" t="s">
        <v>16</v>
      </c>
      <c r="I254" t="s">
        <v>48</v>
      </c>
      <c r="J254" s="3">
        <v>99</v>
      </c>
      <c r="K254" t="s">
        <v>829</v>
      </c>
      <c r="L254" t="s">
        <v>677</v>
      </c>
      <c r="M254" s="4">
        <v>0.6</v>
      </c>
      <c r="N254" s="4">
        <v>0.56999999999999995</v>
      </c>
    </row>
    <row r="255" spans="1:14" x14ac:dyDescent="0.4">
      <c r="A255">
        <v>254</v>
      </c>
      <c r="B255">
        <v>2014</v>
      </c>
      <c r="C255" t="s">
        <v>830</v>
      </c>
      <c r="D255" t="str">
        <f>HYPERLINK("https://ota.tournamentsoftware.com/player-profile/D9CA028A-3366-4954-9B65-F9840B84F93D", "Link")</f>
        <v>Link</v>
      </c>
      <c r="E255" s="2">
        <v>794.096</v>
      </c>
      <c r="F255" s="3">
        <v>21</v>
      </c>
      <c r="G255" t="s">
        <v>29</v>
      </c>
      <c r="H255" t="s">
        <v>141</v>
      </c>
      <c r="I255">
        <v>28.4</v>
      </c>
      <c r="J255" s="3">
        <v>206</v>
      </c>
      <c r="K255" t="s">
        <v>831</v>
      </c>
      <c r="L255" t="s">
        <v>832</v>
      </c>
      <c r="M255" s="4">
        <v>0.64</v>
      </c>
      <c r="N255" s="4">
        <v>0.62</v>
      </c>
    </row>
    <row r="256" spans="1:14" x14ac:dyDescent="0.4">
      <c r="A256">
        <v>255</v>
      </c>
      <c r="B256">
        <v>2011</v>
      </c>
      <c r="C256" t="s">
        <v>833</v>
      </c>
      <c r="D256" t="str">
        <f>HYPERLINK("https://ota.tournamentsoftware.com/player-profile/7E606925-87AD-44C4-A4F6-B5671B1D491D", "Link")</f>
        <v>Link</v>
      </c>
      <c r="E256" s="2">
        <v>792.23699999999997</v>
      </c>
      <c r="F256" s="3">
        <v>23</v>
      </c>
      <c r="G256" t="s">
        <v>20</v>
      </c>
      <c r="H256" t="s">
        <v>43</v>
      </c>
      <c r="I256">
        <v>27.7</v>
      </c>
      <c r="J256" s="3">
        <v>240</v>
      </c>
      <c r="K256" t="s">
        <v>834</v>
      </c>
      <c r="L256" t="s">
        <v>835</v>
      </c>
      <c r="M256" s="4">
        <v>0.53</v>
      </c>
      <c r="N256" s="4">
        <v>0.61</v>
      </c>
    </row>
    <row r="257" spans="1:14" x14ac:dyDescent="0.4">
      <c r="A257">
        <v>256</v>
      </c>
      <c r="B257">
        <v>2013</v>
      </c>
      <c r="C257" t="s">
        <v>836</v>
      </c>
      <c r="D257" t="str">
        <f>HYPERLINK("https://ota.tournamentsoftware.com/player-profile/90FC60A1-D48C-4A9A-97D8-A17B60CF6D4A", "Link")</f>
        <v>Link</v>
      </c>
      <c r="E257" s="2">
        <v>784.83900000000006</v>
      </c>
      <c r="F257" s="3">
        <v>15</v>
      </c>
      <c r="G257" t="s">
        <v>20</v>
      </c>
      <c r="H257" t="s">
        <v>736</v>
      </c>
      <c r="I257">
        <v>28.3</v>
      </c>
      <c r="J257" s="3">
        <v>236</v>
      </c>
      <c r="K257" t="s">
        <v>837</v>
      </c>
      <c r="L257" t="s">
        <v>838</v>
      </c>
      <c r="M257" s="4">
        <v>0.5</v>
      </c>
      <c r="N257" s="4">
        <v>0.37</v>
      </c>
    </row>
    <row r="258" spans="1:14" x14ac:dyDescent="0.4">
      <c r="A258">
        <v>257</v>
      </c>
      <c r="B258">
        <v>2013</v>
      </c>
      <c r="C258" t="s">
        <v>839</v>
      </c>
      <c r="D258" t="str">
        <f>HYPERLINK("https://ota.tournamentsoftware.com/player-profile/44233F45-64EC-49B2-AA72-859E176C2987", "Link")</f>
        <v>Link</v>
      </c>
      <c r="E258" s="2">
        <v>784.31299999999999</v>
      </c>
      <c r="F258" s="3">
        <v>28</v>
      </c>
      <c r="G258" t="s">
        <v>25</v>
      </c>
      <c r="H258" t="s">
        <v>840</v>
      </c>
      <c r="I258">
        <v>29.6</v>
      </c>
      <c r="J258" s="3">
        <v>244</v>
      </c>
      <c r="K258" t="s">
        <v>841</v>
      </c>
      <c r="L258" t="s">
        <v>842</v>
      </c>
      <c r="M258" s="4">
        <v>0.47</v>
      </c>
      <c r="N258" s="4">
        <v>0.56000000000000005</v>
      </c>
    </row>
    <row r="259" spans="1:14" x14ac:dyDescent="0.4">
      <c r="A259">
        <v>258</v>
      </c>
      <c r="B259">
        <v>2012</v>
      </c>
      <c r="C259" t="s">
        <v>843</v>
      </c>
      <c r="D259" t="str">
        <f>HYPERLINK("https://ota.tournamentsoftware.com/player-profile/AA2E46A9-EC33-4492-A527-0C8E0CA405B0", "Link")</f>
        <v>Link</v>
      </c>
      <c r="E259" s="2">
        <v>784.15599999999995</v>
      </c>
      <c r="F259" s="3">
        <v>25</v>
      </c>
      <c r="G259" t="s">
        <v>25</v>
      </c>
      <c r="H259" t="s">
        <v>289</v>
      </c>
      <c r="I259">
        <v>27.9</v>
      </c>
      <c r="J259" s="3">
        <v>244</v>
      </c>
      <c r="K259" t="s">
        <v>844</v>
      </c>
      <c r="L259" t="s">
        <v>845</v>
      </c>
      <c r="M259" s="4">
        <v>0.5</v>
      </c>
      <c r="N259" s="4">
        <v>0.62</v>
      </c>
    </row>
    <row r="260" spans="1:14" x14ac:dyDescent="0.4">
      <c r="A260">
        <v>259</v>
      </c>
      <c r="B260">
        <v>2013</v>
      </c>
      <c r="C260" t="s">
        <v>846</v>
      </c>
      <c r="D260" t="str">
        <f>HYPERLINK("https://ota.tournamentsoftware.com/player-profile/26838C23-66D4-4CAD-825B-C69620EB242D", "Link")</f>
        <v>Link</v>
      </c>
      <c r="E260" s="2">
        <v>777.96</v>
      </c>
      <c r="F260" s="3">
        <v>18</v>
      </c>
      <c r="G260" t="s">
        <v>109</v>
      </c>
      <c r="H260" t="s">
        <v>110</v>
      </c>
      <c r="I260">
        <v>24.5</v>
      </c>
      <c r="J260" s="3">
        <v>281</v>
      </c>
      <c r="K260" t="s">
        <v>847</v>
      </c>
      <c r="L260" t="s">
        <v>306</v>
      </c>
      <c r="M260" s="4">
        <v>0.63</v>
      </c>
      <c r="N260" s="4">
        <v>0.52</v>
      </c>
    </row>
    <row r="261" spans="1:14" x14ac:dyDescent="0.4">
      <c r="A261">
        <v>260</v>
      </c>
      <c r="B261">
        <v>2010</v>
      </c>
      <c r="C261" t="s">
        <v>848</v>
      </c>
      <c r="D261" t="str">
        <f>HYPERLINK("https://ota.tournamentsoftware.com/player-profile/DBBAEF19-D6CE-457C-BC82-183823BBDC67", "Link")</f>
        <v>Link</v>
      </c>
      <c r="E261" s="2">
        <v>774.68200000000002</v>
      </c>
      <c r="F261" s="3">
        <v>8</v>
      </c>
      <c r="G261" t="s">
        <v>109</v>
      </c>
      <c r="H261" t="s">
        <v>110</v>
      </c>
      <c r="I261" t="s">
        <v>48</v>
      </c>
      <c r="J261" s="3">
        <v>184</v>
      </c>
      <c r="K261" t="s">
        <v>849</v>
      </c>
      <c r="L261" t="s">
        <v>642</v>
      </c>
      <c r="M261" s="4">
        <v>0.42</v>
      </c>
      <c r="N261" s="4">
        <v>0.45</v>
      </c>
    </row>
    <row r="262" spans="1:14" x14ac:dyDescent="0.4">
      <c r="A262">
        <v>261</v>
      </c>
      <c r="B262">
        <v>2015</v>
      </c>
      <c r="C262" t="s">
        <v>850</v>
      </c>
      <c r="D262" t="str">
        <f>HYPERLINK("https://ota.tournamentsoftware.com/player-profile/807CAE71-A1FD-4ED2-952F-E0EDBF0E66E6", "Link")</f>
        <v>Link</v>
      </c>
      <c r="E262" s="2">
        <v>767.18399999999997</v>
      </c>
      <c r="F262" s="3">
        <v>24</v>
      </c>
      <c r="G262" t="s">
        <v>29</v>
      </c>
      <c r="H262" t="s">
        <v>163</v>
      </c>
      <c r="I262">
        <v>30.7</v>
      </c>
      <c r="J262" s="3">
        <v>161</v>
      </c>
      <c r="K262" t="s">
        <v>851</v>
      </c>
      <c r="L262" t="s">
        <v>852</v>
      </c>
      <c r="M262" s="4">
        <v>0.57999999999999996</v>
      </c>
      <c r="N262" s="4">
        <v>0.62</v>
      </c>
    </row>
    <row r="263" spans="1:14" x14ac:dyDescent="0.4">
      <c r="A263">
        <v>262</v>
      </c>
      <c r="B263">
        <v>2012</v>
      </c>
      <c r="C263" t="s">
        <v>853</v>
      </c>
      <c r="D263" t="str">
        <f>HYPERLINK("https://ota.tournamentsoftware.com/player-profile/97D1640C-AAFD-43B2-8C9A-BAA1649A3937", "Link")</f>
        <v>Link</v>
      </c>
      <c r="E263" s="2">
        <v>761.72900000000004</v>
      </c>
      <c r="F263" s="3">
        <v>14</v>
      </c>
      <c r="G263" t="s">
        <v>109</v>
      </c>
      <c r="H263" t="s">
        <v>110</v>
      </c>
      <c r="I263">
        <v>26.1</v>
      </c>
      <c r="J263" s="3">
        <v>292</v>
      </c>
      <c r="K263" t="s">
        <v>854</v>
      </c>
      <c r="L263" t="s">
        <v>855</v>
      </c>
      <c r="M263" s="4">
        <v>0.57999999999999996</v>
      </c>
      <c r="N263" s="4">
        <v>0.56999999999999995</v>
      </c>
    </row>
    <row r="264" spans="1:14" x14ac:dyDescent="0.4">
      <c r="A264">
        <v>263</v>
      </c>
      <c r="B264">
        <v>2010</v>
      </c>
      <c r="C264" t="s">
        <v>856</v>
      </c>
      <c r="D264" t="str">
        <f>HYPERLINK("https://ota.tournamentsoftware.com/player-profile/D7F78428-DB27-4C04-BFB1-DD13691D8CAC", "Link")</f>
        <v>Link</v>
      </c>
      <c r="E264" s="2">
        <v>755.11199999999997</v>
      </c>
      <c r="F264" s="3">
        <v>28</v>
      </c>
      <c r="G264" t="s">
        <v>25</v>
      </c>
      <c r="H264" t="s">
        <v>289</v>
      </c>
      <c r="I264">
        <v>31.5</v>
      </c>
      <c r="J264" s="3">
        <v>103</v>
      </c>
      <c r="K264" t="s">
        <v>857</v>
      </c>
      <c r="L264" t="s">
        <v>858</v>
      </c>
      <c r="M264" s="4">
        <v>0.27</v>
      </c>
      <c r="N264" s="4">
        <v>0.26</v>
      </c>
    </row>
    <row r="265" spans="1:14" x14ac:dyDescent="0.4">
      <c r="A265">
        <v>264</v>
      </c>
      <c r="B265">
        <v>2013</v>
      </c>
      <c r="C265" t="s">
        <v>859</v>
      </c>
      <c r="D265" t="str">
        <f>HYPERLINK("https://ota.tournamentsoftware.com/player-profile/D89592D5-D2EA-499E-9A9C-8B20B391C761", "Link")</f>
        <v>Link</v>
      </c>
      <c r="E265" s="2">
        <v>753.09400000000005</v>
      </c>
      <c r="F265" s="3">
        <v>28</v>
      </c>
      <c r="G265" t="s">
        <v>25</v>
      </c>
      <c r="H265" t="s">
        <v>16</v>
      </c>
      <c r="I265">
        <v>29.2</v>
      </c>
      <c r="J265" s="3">
        <v>89</v>
      </c>
      <c r="K265" t="s">
        <v>860</v>
      </c>
      <c r="L265" t="s">
        <v>861</v>
      </c>
      <c r="M265" s="4">
        <v>0.52</v>
      </c>
      <c r="N265" s="4">
        <v>0.66</v>
      </c>
    </row>
    <row r="266" spans="1:14" x14ac:dyDescent="0.4">
      <c r="A266">
        <v>265</v>
      </c>
      <c r="B266">
        <v>2012</v>
      </c>
      <c r="C266" t="s">
        <v>862</v>
      </c>
      <c r="D266" t="str">
        <f>HYPERLINK("https://ota.tournamentsoftware.com/player-profile/7A966C5F-11C4-49ED-9F9D-2B1D18AB7E3B", "Link")</f>
        <v>Link</v>
      </c>
      <c r="E266" s="2">
        <v>743.375</v>
      </c>
      <c r="F266" s="3">
        <v>18</v>
      </c>
      <c r="G266" t="s">
        <v>29</v>
      </c>
      <c r="H266" t="s">
        <v>16</v>
      </c>
      <c r="I266" t="s">
        <v>48</v>
      </c>
      <c r="J266" s="3">
        <v>278</v>
      </c>
      <c r="K266" t="s">
        <v>863</v>
      </c>
      <c r="L266" t="s">
        <v>864</v>
      </c>
      <c r="M266" s="4">
        <v>0.51</v>
      </c>
      <c r="N266" s="4">
        <v>0.39</v>
      </c>
    </row>
    <row r="267" spans="1:14" x14ac:dyDescent="0.4">
      <c r="A267">
        <v>266</v>
      </c>
      <c r="B267">
        <v>2014</v>
      </c>
      <c r="C267" t="s">
        <v>865</v>
      </c>
      <c r="D267" t="str">
        <f>HYPERLINK("https://ota.tournamentsoftware.com/player-profile/9912697B-2876-4A36-8F98-3B7F524694E1", "Link")</f>
        <v>Link</v>
      </c>
      <c r="E267" s="2">
        <v>738.68</v>
      </c>
      <c r="F267" s="3">
        <v>12</v>
      </c>
      <c r="G267" t="s">
        <v>173</v>
      </c>
      <c r="H267" t="s">
        <v>174</v>
      </c>
      <c r="I267">
        <v>30.1</v>
      </c>
      <c r="J267" s="3">
        <v>157</v>
      </c>
      <c r="K267" t="s">
        <v>866</v>
      </c>
      <c r="L267" t="s">
        <v>867</v>
      </c>
      <c r="M267" s="4">
        <v>0.56000000000000005</v>
      </c>
      <c r="N267" s="4">
        <v>0.48</v>
      </c>
    </row>
    <row r="268" spans="1:14" x14ac:dyDescent="0.4">
      <c r="A268">
        <v>267</v>
      </c>
      <c r="B268">
        <v>2011</v>
      </c>
      <c r="C268" t="s">
        <v>868</v>
      </c>
      <c r="D268" t="str">
        <f>HYPERLINK("https://ota.tournamentsoftware.com/player-profile/98DA2C58-FFCF-4F81-9AD5-69D72D56B8F7", "Link")</f>
        <v>Link</v>
      </c>
      <c r="E268" s="2">
        <v>732.75300000000004</v>
      </c>
      <c r="F268" s="3">
        <v>24</v>
      </c>
      <c r="G268" t="s">
        <v>29</v>
      </c>
      <c r="H268" t="s">
        <v>163</v>
      </c>
      <c r="I268">
        <v>29.8</v>
      </c>
      <c r="J268" s="3">
        <v>195</v>
      </c>
      <c r="K268" t="s">
        <v>869</v>
      </c>
      <c r="L268" t="s">
        <v>870</v>
      </c>
      <c r="M268" s="4">
        <v>0.43</v>
      </c>
      <c r="N268" s="4">
        <v>0.33</v>
      </c>
    </row>
    <row r="269" spans="1:14" x14ac:dyDescent="0.4">
      <c r="A269">
        <v>268</v>
      </c>
      <c r="B269">
        <v>2011</v>
      </c>
      <c r="C269" t="s">
        <v>871</v>
      </c>
      <c r="D269" t="str">
        <f>HYPERLINK("https://ota.tournamentsoftware.com/player-profile/46A250C0-81E4-4DFB-81ED-B5772A33584B", "Link")</f>
        <v>Link</v>
      </c>
      <c r="E269" s="2">
        <v>728.30499999999995</v>
      </c>
      <c r="F269" s="3">
        <v>8</v>
      </c>
      <c r="G269" t="s">
        <v>29</v>
      </c>
      <c r="H269" t="s">
        <v>141</v>
      </c>
      <c r="I269">
        <v>29.4</v>
      </c>
      <c r="J269" s="3">
        <v>127</v>
      </c>
      <c r="K269" t="s">
        <v>707</v>
      </c>
      <c r="L269" t="s">
        <v>872</v>
      </c>
      <c r="M269" s="4">
        <v>0.53</v>
      </c>
      <c r="N269" s="4">
        <v>0.28999999999999998</v>
      </c>
    </row>
    <row r="270" spans="1:14" x14ac:dyDescent="0.4">
      <c r="A270">
        <v>269</v>
      </c>
      <c r="B270">
        <v>2012</v>
      </c>
      <c r="C270" t="s">
        <v>873</v>
      </c>
      <c r="D270" t="str">
        <f>HYPERLINK("https://ota.tournamentsoftware.com/player-profile/6487D297-D67D-4189-9D3C-05A8EA398E60", "Link")</f>
        <v>Link</v>
      </c>
      <c r="E270" s="2">
        <v>722.93100000000004</v>
      </c>
      <c r="F270" s="3">
        <v>11</v>
      </c>
      <c r="G270" t="s">
        <v>29</v>
      </c>
      <c r="H270" t="s">
        <v>16</v>
      </c>
      <c r="I270">
        <v>31</v>
      </c>
      <c r="J270" s="3">
        <v>66</v>
      </c>
      <c r="K270" t="s">
        <v>874</v>
      </c>
      <c r="L270" t="s">
        <v>875</v>
      </c>
      <c r="M270" s="4">
        <v>0.47</v>
      </c>
      <c r="N270" s="4">
        <v>0.65</v>
      </c>
    </row>
    <row r="271" spans="1:14" x14ac:dyDescent="0.4">
      <c r="A271">
        <v>270</v>
      </c>
      <c r="B271">
        <v>2012</v>
      </c>
      <c r="C271" t="s">
        <v>876</v>
      </c>
      <c r="D271" t="str">
        <f>HYPERLINK("https://ota.tournamentsoftware.com/player-profile/0CA7407B-419A-43BA-82FB-32200AA68BA2", "Link")</f>
        <v>Link</v>
      </c>
      <c r="E271" s="2">
        <v>719.11099999999999</v>
      </c>
      <c r="F271" s="3">
        <v>8</v>
      </c>
      <c r="G271" t="s">
        <v>29</v>
      </c>
      <c r="H271" t="s">
        <v>877</v>
      </c>
      <c r="I271">
        <v>24.7</v>
      </c>
      <c r="J271" s="3">
        <v>287</v>
      </c>
      <c r="K271" t="s">
        <v>878</v>
      </c>
      <c r="L271" t="s">
        <v>879</v>
      </c>
      <c r="M271" s="4">
        <v>0.51</v>
      </c>
      <c r="N271" s="4">
        <v>0</v>
      </c>
    </row>
    <row r="272" spans="1:14" x14ac:dyDescent="0.4">
      <c r="A272">
        <v>271</v>
      </c>
      <c r="B272">
        <v>2014</v>
      </c>
      <c r="C272" t="s">
        <v>880</v>
      </c>
      <c r="D272" t="str">
        <f>HYPERLINK("https://ota.tournamentsoftware.com/player-profile/341DA394-9039-4254-B369-B8C52872A168", "Link")</f>
        <v>Link</v>
      </c>
      <c r="E272" s="2">
        <v>710.697</v>
      </c>
      <c r="F272" s="3">
        <v>29</v>
      </c>
      <c r="G272" t="s">
        <v>29</v>
      </c>
      <c r="H272" t="s">
        <v>70</v>
      </c>
      <c r="I272">
        <v>28.3</v>
      </c>
      <c r="J272" s="3">
        <v>289</v>
      </c>
      <c r="K272" t="s">
        <v>881</v>
      </c>
      <c r="L272" t="s">
        <v>882</v>
      </c>
      <c r="M272" s="4">
        <v>0.62</v>
      </c>
      <c r="N272" s="4">
        <v>0.51</v>
      </c>
    </row>
    <row r="273" spans="1:14" x14ac:dyDescent="0.4">
      <c r="A273">
        <v>272</v>
      </c>
      <c r="B273">
        <v>2012</v>
      </c>
      <c r="C273" t="s">
        <v>883</v>
      </c>
      <c r="D273" t="str">
        <f>HYPERLINK("https://ota.tournamentsoftware.com/player-profile/FD6387AB-774D-491E-8A68-CE4DD20FAEF7", "Link")</f>
        <v>Link</v>
      </c>
      <c r="E273" s="2">
        <v>704.61199999999997</v>
      </c>
      <c r="F273" s="3">
        <v>32</v>
      </c>
      <c r="G273" t="s">
        <v>29</v>
      </c>
      <c r="H273" t="s">
        <v>91</v>
      </c>
      <c r="I273">
        <v>30.5</v>
      </c>
      <c r="J273" s="3">
        <v>208</v>
      </c>
      <c r="K273" t="s">
        <v>884</v>
      </c>
      <c r="L273" t="s">
        <v>885</v>
      </c>
      <c r="M273" s="4">
        <v>0.47</v>
      </c>
      <c r="N273" s="4">
        <v>0.53</v>
      </c>
    </row>
    <row r="274" spans="1:14" x14ac:dyDescent="0.4">
      <c r="A274">
        <v>273</v>
      </c>
      <c r="B274">
        <v>2012</v>
      </c>
      <c r="C274" t="s">
        <v>886</v>
      </c>
      <c r="D274" t="str">
        <f>HYPERLINK("https://ota.tournamentsoftware.com/player-profile/CF7261D5-5723-40A9-853D-2B21D7A35985", "Link")</f>
        <v>Link</v>
      </c>
      <c r="E274" s="2">
        <v>703.61099999999999</v>
      </c>
      <c r="F274" s="3">
        <v>9</v>
      </c>
      <c r="G274" t="s">
        <v>173</v>
      </c>
      <c r="H274" t="s">
        <v>887</v>
      </c>
      <c r="I274">
        <v>30.8</v>
      </c>
      <c r="J274" s="3">
        <v>158</v>
      </c>
      <c r="K274" t="s">
        <v>888</v>
      </c>
      <c r="L274" t="s">
        <v>889</v>
      </c>
      <c r="M274" s="4">
        <v>0.41</v>
      </c>
      <c r="N274" s="4">
        <v>0.35</v>
      </c>
    </row>
    <row r="275" spans="1:14" x14ac:dyDescent="0.4">
      <c r="A275">
        <v>274</v>
      </c>
      <c r="B275">
        <v>2010</v>
      </c>
      <c r="C275" t="s">
        <v>890</v>
      </c>
      <c r="D275" t="str">
        <f>HYPERLINK("https://ota.tournamentsoftware.com/player-profile/9F64E325-06F3-444B-A53C-584A0AD0BDB6", "Link")</f>
        <v>Link</v>
      </c>
      <c r="E275" s="2">
        <v>698.7</v>
      </c>
      <c r="F275" s="3">
        <v>10</v>
      </c>
      <c r="G275" t="s">
        <v>29</v>
      </c>
      <c r="H275" t="s">
        <v>199</v>
      </c>
      <c r="I275">
        <v>26.9</v>
      </c>
      <c r="J275" s="3">
        <v>87</v>
      </c>
      <c r="K275" t="s">
        <v>891</v>
      </c>
      <c r="L275" t="s">
        <v>892</v>
      </c>
      <c r="M275" s="4">
        <v>0.47</v>
      </c>
      <c r="N275" s="4">
        <v>0.5</v>
      </c>
    </row>
    <row r="276" spans="1:14" x14ac:dyDescent="0.4">
      <c r="A276">
        <v>275</v>
      </c>
      <c r="B276">
        <v>2013</v>
      </c>
      <c r="C276" t="s">
        <v>893</v>
      </c>
      <c r="D276" t="str">
        <f>HYPERLINK("https://ota.tournamentsoftware.com/player-profile/F839ADA6-2875-4712-9FE7-C958E075D669", "Link")</f>
        <v>Link</v>
      </c>
      <c r="E276" s="2">
        <v>697.77</v>
      </c>
      <c r="F276" s="3">
        <v>26</v>
      </c>
      <c r="G276" t="s">
        <v>29</v>
      </c>
      <c r="H276" t="s">
        <v>679</v>
      </c>
      <c r="I276">
        <v>30.6</v>
      </c>
      <c r="J276" s="3">
        <v>128</v>
      </c>
      <c r="K276" t="s">
        <v>894</v>
      </c>
      <c r="L276" t="s">
        <v>895</v>
      </c>
      <c r="M276" s="4">
        <v>0.57999999999999996</v>
      </c>
      <c r="N276" s="4">
        <v>0.47</v>
      </c>
    </row>
    <row r="277" spans="1:14" x14ac:dyDescent="0.4">
      <c r="A277">
        <v>276</v>
      </c>
      <c r="B277">
        <v>2016</v>
      </c>
      <c r="C277" t="s">
        <v>896</v>
      </c>
      <c r="D277" t="str">
        <f>HYPERLINK("https://ota.tournamentsoftware.com/player-profile/6E1FCBA7-1BA6-4DCA-9440-D121E3710638", "Link")</f>
        <v>Link</v>
      </c>
      <c r="E277" s="2">
        <v>695.77200000000005</v>
      </c>
      <c r="F277" s="3">
        <v>13</v>
      </c>
      <c r="G277" t="s">
        <v>15</v>
      </c>
      <c r="H277" t="s">
        <v>271</v>
      </c>
      <c r="I277">
        <v>31.7</v>
      </c>
      <c r="J277" s="3">
        <v>147</v>
      </c>
      <c r="K277" t="s">
        <v>897</v>
      </c>
      <c r="L277" t="s">
        <v>898</v>
      </c>
      <c r="M277" s="4">
        <v>0.56999999999999995</v>
      </c>
      <c r="N277" s="4">
        <v>0.54</v>
      </c>
    </row>
    <row r="278" spans="1:14" x14ac:dyDescent="0.4">
      <c r="A278">
        <v>277</v>
      </c>
      <c r="B278">
        <v>2011</v>
      </c>
      <c r="C278" t="s">
        <v>899</v>
      </c>
      <c r="D278" t="str">
        <f>HYPERLINK("https://ota.tournamentsoftware.com/player-profile/F0CB53C7-44F7-409B-B151-97EB438E6311", "Link")</f>
        <v>Link</v>
      </c>
      <c r="E278" s="2">
        <v>688.92700000000002</v>
      </c>
      <c r="F278" s="3">
        <v>8</v>
      </c>
      <c r="G278" t="s">
        <v>20</v>
      </c>
      <c r="H278" t="s">
        <v>900</v>
      </c>
      <c r="I278">
        <v>27.3</v>
      </c>
      <c r="J278" s="3">
        <v>157</v>
      </c>
      <c r="K278" t="s">
        <v>901</v>
      </c>
      <c r="L278" t="s">
        <v>902</v>
      </c>
      <c r="M278" s="4">
        <v>0.56999999999999995</v>
      </c>
      <c r="N278" s="4">
        <v>0.46</v>
      </c>
    </row>
    <row r="279" spans="1:14" x14ac:dyDescent="0.4">
      <c r="A279">
        <v>278</v>
      </c>
      <c r="B279">
        <v>2011</v>
      </c>
      <c r="C279" t="s">
        <v>903</v>
      </c>
      <c r="D279" t="str">
        <f>HYPERLINK("https://ota.tournamentsoftware.com/player-profile/2610E01C-2833-4D6E-A9E2-74FD63D9E65B", "Link")</f>
        <v>Link</v>
      </c>
      <c r="E279" s="2">
        <v>682.15099999999995</v>
      </c>
      <c r="F279" s="3">
        <v>10</v>
      </c>
      <c r="G279" t="s">
        <v>29</v>
      </c>
      <c r="H279" t="s">
        <v>904</v>
      </c>
      <c r="I279">
        <v>32.700000000000003</v>
      </c>
      <c r="J279" s="3">
        <v>88</v>
      </c>
      <c r="K279" t="s">
        <v>905</v>
      </c>
      <c r="L279" t="s">
        <v>906</v>
      </c>
      <c r="M279" s="4">
        <v>0.16</v>
      </c>
      <c r="N279" s="4">
        <v>7.0000000000000007E-2</v>
      </c>
    </row>
    <row r="280" spans="1:14" x14ac:dyDescent="0.4">
      <c r="A280">
        <v>279</v>
      </c>
      <c r="B280">
        <v>2010</v>
      </c>
      <c r="C280" t="s">
        <v>907</v>
      </c>
      <c r="D280" t="str">
        <f>HYPERLINK("https://ota.tournamentsoftware.com/player-profile/E42D1232-AE18-44DD-A0F9-9DBDE6FD47B3", "Link")</f>
        <v>Link</v>
      </c>
      <c r="E280" s="2">
        <v>672.96400000000006</v>
      </c>
      <c r="F280" s="3">
        <v>5</v>
      </c>
      <c r="G280" t="s">
        <v>20</v>
      </c>
      <c r="H280" t="s">
        <v>908</v>
      </c>
      <c r="I280">
        <v>26.2</v>
      </c>
      <c r="J280" s="3">
        <v>158</v>
      </c>
      <c r="K280" t="s">
        <v>576</v>
      </c>
      <c r="L280" t="s">
        <v>534</v>
      </c>
      <c r="M280" s="4">
        <v>0.53</v>
      </c>
      <c r="N280" s="4">
        <v>0.56999999999999995</v>
      </c>
    </row>
    <row r="281" spans="1:14" x14ac:dyDescent="0.4">
      <c r="A281">
        <v>280</v>
      </c>
      <c r="B281">
        <v>2014</v>
      </c>
      <c r="C281" t="s">
        <v>909</v>
      </c>
      <c r="D281" t="str">
        <f>HYPERLINK("https://ota.tournamentsoftware.com/player-profile/AB18AFB2-DEDF-42AF-BFB1-458553AF250C", "Link")</f>
        <v>Link</v>
      </c>
      <c r="E281" s="2">
        <v>661.91099999999994</v>
      </c>
      <c r="F281" s="3">
        <v>29</v>
      </c>
      <c r="G281" t="s">
        <v>25</v>
      </c>
      <c r="H281" t="s">
        <v>182</v>
      </c>
      <c r="I281">
        <v>29.1</v>
      </c>
      <c r="J281" s="3">
        <v>232</v>
      </c>
      <c r="K281" t="s">
        <v>910</v>
      </c>
      <c r="L281" t="s">
        <v>911</v>
      </c>
      <c r="M281" s="4">
        <v>0.44</v>
      </c>
      <c r="N281" s="4">
        <v>0.54</v>
      </c>
    </row>
    <row r="282" spans="1:14" x14ac:dyDescent="0.4">
      <c r="A282">
        <v>281</v>
      </c>
      <c r="B282">
        <v>2012</v>
      </c>
      <c r="C282" t="s">
        <v>912</v>
      </c>
      <c r="D282" t="str">
        <f>HYPERLINK("https://ota.tournamentsoftware.com/player-profile/23E61DC5-74BF-4612-8E7F-7DA0B013D911", "Link")</f>
        <v>Link</v>
      </c>
      <c r="E282" s="2">
        <v>661.29899999999998</v>
      </c>
      <c r="F282" s="3">
        <v>10</v>
      </c>
      <c r="G282" t="s">
        <v>20</v>
      </c>
      <c r="H282" t="s">
        <v>260</v>
      </c>
      <c r="I282">
        <v>27.1</v>
      </c>
      <c r="J282" s="3">
        <v>137</v>
      </c>
      <c r="K282" t="s">
        <v>913</v>
      </c>
      <c r="L282" t="s">
        <v>914</v>
      </c>
      <c r="M282" s="4">
        <v>0.5</v>
      </c>
      <c r="N282" s="4">
        <v>0.53</v>
      </c>
    </row>
    <row r="283" spans="1:14" x14ac:dyDescent="0.4">
      <c r="A283">
        <v>282</v>
      </c>
      <c r="B283">
        <v>2012</v>
      </c>
      <c r="C283" t="s">
        <v>915</v>
      </c>
      <c r="D283" t="str">
        <f>HYPERLINK("https://ota.tournamentsoftware.com/player-profile/F5AE6D4A-50BA-4E57-AD34-589189161D57", "Link")</f>
        <v>Link</v>
      </c>
      <c r="E283" s="2">
        <v>656.04700000000003</v>
      </c>
      <c r="F283" s="3">
        <v>12</v>
      </c>
      <c r="G283" t="s">
        <v>29</v>
      </c>
      <c r="H283" t="s">
        <v>916</v>
      </c>
      <c r="I283" t="s">
        <v>48</v>
      </c>
      <c r="J283" s="3">
        <v>200</v>
      </c>
      <c r="K283" t="s">
        <v>917</v>
      </c>
      <c r="L283" t="s">
        <v>475</v>
      </c>
      <c r="M283" s="4">
        <v>0.64</v>
      </c>
      <c r="N283" s="4">
        <v>0.38</v>
      </c>
    </row>
    <row r="284" spans="1:14" x14ac:dyDescent="0.4">
      <c r="A284">
        <v>283</v>
      </c>
      <c r="B284">
        <v>2010</v>
      </c>
      <c r="C284" t="s">
        <v>918</v>
      </c>
      <c r="D284" t="str">
        <f>HYPERLINK("https://ota.tournamentsoftware.com/player-profile/F2C8F60F-8433-45BD-A12F-378A00BDB0BD", "Link")</f>
        <v>Link</v>
      </c>
      <c r="E284" s="2">
        <v>650.09400000000005</v>
      </c>
      <c r="F284" s="3">
        <v>11</v>
      </c>
      <c r="G284" t="s">
        <v>20</v>
      </c>
      <c r="H284" t="s">
        <v>919</v>
      </c>
      <c r="I284">
        <v>30.8</v>
      </c>
      <c r="J284" s="3">
        <v>204</v>
      </c>
      <c r="K284" t="s">
        <v>920</v>
      </c>
      <c r="L284" t="s">
        <v>921</v>
      </c>
      <c r="M284" s="4">
        <v>0.47</v>
      </c>
      <c r="N284" s="4">
        <v>0.15</v>
      </c>
    </row>
    <row r="285" spans="1:14" x14ac:dyDescent="0.4">
      <c r="A285">
        <v>284</v>
      </c>
      <c r="B285">
        <v>2012</v>
      </c>
      <c r="C285" t="s">
        <v>922</v>
      </c>
      <c r="D285" t="str">
        <f>HYPERLINK("https://ota.tournamentsoftware.com/player-profile/4F19921D-D25C-4DFA-8A7D-90DE48FEB722", "Link")</f>
        <v>Link</v>
      </c>
      <c r="E285" s="2">
        <v>646.65300000000002</v>
      </c>
      <c r="F285" s="3">
        <v>23</v>
      </c>
      <c r="G285" t="s">
        <v>29</v>
      </c>
      <c r="H285" t="s">
        <v>16</v>
      </c>
      <c r="I285">
        <v>33</v>
      </c>
      <c r="J285" s="3">
        <v>218</v>
      </c>
      <c r="K285" t="s">
        <v>923</v>
      </c>
      <c r="L285" t="s">
        <v>924</v>
      </c>
      <c r="M285" s="4">
        <v>0.47</v>
      </c>
      <c r="N285" s="4">
        <v>0.22</v>
      </c>
    </row>
    <row r="286" spans="1:14" x14ac:dyDescent="0.4">
      <c r="A286">
        <v>285</v>
      </c>
      <c r="B286">
        <v>2012</v>
      </c>
      <c r="C286" t="s">
        <v>925</v>
      </c>
      <c r="D286" t="str">
        <f>HYPERLINK("https://ota.tournamentsoftware.com/player-profile/827C7FCD-2D7D-406E-B5C0-29D0720096DC", "Link")</f>
        <v>Link</v>
      </c>
      <c r="E286" s="2">
        <v>638.20000000000005</v>
      </c>
      <c r="F286" s="3">
        <v>20</v>
      </c>
      <c r="G286" t="s">
        <v>29</v>
      </c>
      <c r="H286" t="s">
        <v>926</v>
      </c>
      <c r="I286">
        <v>29.1</v>
      </c>
      <c r="J286" s="3">
        <v>441</v>
      </c>
      <c r="K286" t="s">
        <v>927</v>
      </c>
      <c r="L286" t="s">
        <v>500</v>
      </c>
      <c r="M286" s="4">
        <v>0.72</v>
      </c>
      <c r="N286" s="4">
        <v>0.66</v>
      </c>
    </row>
    <row r="287" spans="1:14" x14ac:dyDescent="0.4">
      <c r="A287">
        <v>286</v>
      </c>
      <c r="B287">
        <v>2013</v>
      </c>
      <c r="C287" t="s">
        <v>928</v>
      </c>
      <c r="D287" t="str">
        <f>HYPERLINK("https://ota.tournamentsoftware.com/player-profile/7FB2D792-ABB2-4F05-B9D4-757321E9FA35", "Link")</f>
        <v>Link</v>
      </c>
      <c r="E287" s="2">
        <v>635.40499999999997</v>
      </c>
      <c r="F287" s="3">
        <v>21</v>
      </c>
      <c r="G287" t="s">
        <v>20</v>
      </c>
      <c r="H287" t="s">
        <v>260</v>
      </c>
      <c r="I287">
        <v>27.7</v>
      </c>
      <c r="J287" s="3">
        <v>123</v>
      </c>
      <c r="K287" t="s">
        <v>929</v>
      </c>
      <c r="L287" t="s">
        <v>445</v>
      </c>
      <c r="M287" s="4">
        <v>0.64</v>
      </c>
      <c r="N287" s="4">
        <v>0.64</v>
      </c>
    </row>
    <row r="288" spans="1:14" x14ac:dyDescent="0.4">
      <c r="A288">
        <v>287</v>
      </c>
      <c r="B288">
        <v>2010</v>
      </c>
      <c r="C288" t="s">
        <v>930</v>
      </c>
      <c r="D288" t="str">
        <f>HYPERLINK("https://ota.tournamentsoftware.com/player-profile/D82E71C0-1372-4A9E-8252-5BD21A6404C7", "Link")</f>
        <v>Link</v>
      </c>
      <c r="E288" s="2">
        <v>631.279</v>
      </c>
      <c r="F288" s="3">
        <v>13</v>
      </c>
      <c r="G288" t="s">
        <v>25</v>
      </c>
      <c r="H288" t="s">
        <v>289</v>
      </c>
      <c r="I288">
        <v>30.9</v>
      </c>
      <c r="J288" s="3">
        <v>274</v>
      </c>
      <c r="K288" t="s">
        <v>931</v>
      </c>
      <c r="L288" t="s">
        <v>932</v>
      </c>
      <c r="M288" s="4">
        <v>0.37</v>
      </c>
      <c r="N288" s="4">
        <v>0.3</v>
      </c>
    </row>
    <row r="289" spans="1:14" x14ac:dyDescent="0.4">
      <c r="A289">
        <v>288</v>
      </c>
      <c r="B289">
        <v>2014</v>
      </c>
      <c r="C289" t="s">
        <v>933</v>
      </c>
      <c r="D289" t="str">
        <f>HYPERLINK("https://ota.tournamentsoftware.com/player-profile/8CFFE2B1-9508-4CB2-8E6A-6761AA8394EA", "Link")</f>
        <v>Link</v>
      </c>
      <c r="E289" s="2">
        <v>628.71699999999998</v>
      </c>
      <c r="F289" s="3">
        <v>18</v>
      </c>
      <c r="G289" t="s">
        <v>109</v>
      </c>
      <c r="H289" t="s">
        <v>281</v>
      </c>
      <c r="I289" t="s">
        <v>48</v>
      </c>
      <c r="J289" s="3">
        <v>190</v>
      </c>
      <c r="K289" t="s">
        <v>934</v>
      </c>
      <c r="L289" t="s">
        <v>935</v>
      </c>
      <c r="M289" s="4">
        <v>0.72</v>
      </c>
      <c r="N289" s="4">
        <v>0.71</v>
      </c>
    </row>
    <row r="290" spans="1:14" x14ac:dyDescent="0.4">
      <c r="A290">
        <v>289</v>
      </c>
      <c r="B290">
        <v>2011</v>
      </c>
      <c r="C290" t="s">
        <v>936</v>
      </c>
      <c r="D290" t="str">
        <f>HYPERLINK("https://ota.tournamentsoftware.com/player-profile/9E117368-A070-469F-AF57-2927126B3FD6", "Link")</f>
        <v>Link</v>
      </c>
      <c r="E290" s="2">
        <v>626.14300000000003</v>
      </c>
      <c r="F290" s="3">
        <v>13</v>
      </c>
      <c r="G290" t="s">
        <v>29</v>
      </c>
      <c r="H290" t="s">
        <v>937</v>
      </c>
      <c r="I290">
        <v>32.700000000000003</v>
      </c>
      <c r="J290" s="3">
        <v>92</v>
      </c>
      <c r="K290" t="s">
        <v>938</v>
      </c>
      <c r="L290" t="s">
        <v>939</v>
      </c>
      <c r="M290" s="4">
        <v>0.28999999999999998</v>
      </c>
      <c r="N290" s="4">
        <v>0.27</v>
      </c>
    </row>
    <row r="291" spans="1:14" x14ac:dyDescent="0.4">
      <c r="A291">
        <v>290</v>
      </c>
      <c r="B291">
        <v>2012</v>
      </c>
      <c r="C291" t="s">
        <v>940</v>
      </c>
      <c r="D291" t="str">
        <f>HYPERLINK("https://ota.tournamentsoftware.com/player-profile/332E40CD-AB90-41CE-81C3-858501B2FAD3", "Link")</f>
        <v>Link</v>
      </c>
      <c r="E291" s="2">
        <v>624.88900000000001</v>
      </c>
      <c r="F291" s="3">
        <v>29</v>
      </c>
      <c r="G291" t="s">
        <v>29</v>
      </c>
      <c r="H291" t="s">
        <v>88</v>
      </c>
      <c r="I291">
        <v>30.9</v>
      </c>
      <c r="J291" s="3">
        <v>133</v>
      </c>
      <c r="K291" t="s">
        <v>941</v>
      </c>
      <c r="L291" t="s">
        <v>942</v>
      </c>
      <c r="M291" s="4">
        <v>0.42</v>
      </c>
      <c r="N291" s="4">
        <v>0.62</v>
      </c>
    </row>
    <row r="292" spans="1:14" x14ac:dyDescent="0.4">
      <c r="A292">
        <v>291</v>
      </c>
      <c r="B292">
        <v>2012</v>
      </c>
      <c r="C292" t="s">
        <v>943</v>
      </c>
      <c r="D292" t="str">
        <f>HYPERLINK("https://ota.tournamentsoftware.com/player-profile/53AE0DB5-1F76-4FB8-9870-3B236A9DAA97", "Link")</f>
        <v>Link</v>
      </c>
      <c r="E292" s="2">
        <v>624.74300000000005</v>
      </c>
      <c r="F292" s="3">
        <v>16</v>
      </c>
      <c r="G292" t="s">
        <v>29</v>
      </c>
      <c r="H292" t="s">
        <v>145</v>
      </c>
      <c r="I292" t="s">
        <v>48</v>
      </c>
      <c r="J292" s="3">
        <v>195</v>
      </c>
      <c r="K292" t="s">
        <v>869</v>
      </c>
      <c r="L292" t="s">
        <v>939</v>
      </c>
      <c r="M292" s="4">
        <v>0.43</v>
      </c>
      <c r="N292" s="4">
        <v>0.27</v>
      </c>
    </row>
    <row r="293" spans="1:14" x14ac:dyDescent="0.4">
      <c r="A293">
        <v>292</v>
      </c>
      <c r="B293">
        <v>2012</v>
      </c>
      <c r="C293" t="s">
        <v>944</v>
      </c>
      <c r="D293" t="str">
        <f>HYPERLINK("https://ota.tournamentsoftware.com/player-profile/3B4B01BB-2AAD-49DD-B186-312576B12DC9", "Link")</f>
        <v>Link</v>
      </c>
      <c r="E293" s="2">
        <v>622.25800000000004</v>
      </c>
      <c r="F293" s="3">
        <v>14</v>
      </c>
      <c r="G293" t="s">
        <v>29</v>
      </c>
      <c r="H293" t="s">
        <v>353</v>
      </c>
      <c r="I293">
        <v>30.6</v>
      </c>
      <c r="J293" s="3">
        <v>241</v>
      </c>
      <c r="K293" t="s">
        <v>945</v>
      </c>
      <c r="L293" t="s">
        <v>946</v>
      </c>
      <c r="M293" s="4">
        <v>0.37</v>
      </c>
      <c r="N293" s="4">
        <v>0.62</v>
      </c>
    </row>
    <row r="294" spans="1:14" x14ac:dyDescent="0.4">
      <c r="A294">
        <v>293</v>
      </c>
      <c r="B294">
        <v>2012</v>
      </c>
      <c r="C294" t="s">
        <v>947</v>
      </c>
      <c r="D294" t="str">
        <f>HYPERLINK("https://ota.tournamentsoftware.com/player-profile/527FEC9E-D920-4439-9E01-51A3CFDED939", "Link")</f>
        <v>Link</v>
      </c>
      <c r="E294" s="2">
        <v>618.18100000000004</v>
      </c>
      <c r="F294" s="3">
        <v>26</v>
      </c>
      <c r="G294" t="s">
        <v>29</v>
      </c>
      <c r="H294" t="s">
        <v>277</v>
      </c>
      <c r="I294">
        <v>29.3</v>
      </c>
      <c r="J294" s="3">
        <v>144</v>
      </c>
      <c r="K294" t="s">
        <v>948</v>
      </c>
      <c r="L294" t="s">
        <v>949</v>
      </c>
      <c r="M294" s="4">
        <v>0.54</v>
      </c>
      <c r="N294" s="4">
        <v>0.56999999999999995</v>
      </c>
    </row>
    <row r="295" spans="1:14" x14ac:dyDescent="0.4">
      <c r="A295">
        <v>294</v>
      </c>
      <c r="B295">
        <v>2010</v>
      </c>
      <c r="C295" t="s">
        <v>950</v>
      </c>
      <c r="D295" t="str">
        <f>HYPERLINK("https://ota.tournamentsoftware.com/player-profile/73A95F94-9628-4B86-A830-9F3A8EF6679D", "Link")</f>
        <v>Link</v>
      </c>
      <c r="E295" s="2">
        <v>617.553</v>
      </c>
      <c r="F295" s="3">
        <v>11</v>
      </c>
      <c r="G295" t="s">
        <v>109</v>
      </c>
      <c r="H295" t="s">
        <v>281</v>
      </c>
      <c r="I295">
        <v>25.3</v>
      </c>
      <c r="J295" s="3">
        <v>282</v>
      </c>
      <c r="K295" t="s">
        <v>951</v>
      </c>
      <c r="L295" t="s">
        <v>83</v>
      </c>
      <c r="M295" s="4">
        <v>0.51</v>
      </c>
      <c r="N295" s="4">
        <v>0.53</v>
      </c>
    </row>
    <row r="296" spans="1:14" x14ac:dyDescent="0.4">
      <c r="A296">
        <v>295</v>
      </c>
      <c r="B296">
        <v>2015</v>
      </c>
      <c r="C296" t="s">
        <v>952</v>
      </c>
      <c r="D296" t="str">
        <f>HYPERLINK("https://ota.tournamentsoftware.com/player-profile/5977984B-8EC9-4812-BCFA-CD93C4FFD7AF", "Link")</f>
        <v>Link</v>
      </c>
      <c r="E296" s="2">
        <v>616.01099999999997</v>
      </c>
      <c r="F296" s="3">
        <v>23</v>
      </c>
      <c r="G296" t="s">
        <v>29</v>
      </c>
      <c r="H296" t="s">
        <v>103</v>
      </c>
      <c r="I296">
        <v>29.7</v>
      </c>
      <c r="J296" s="3">
        <v>297</v>
      </c>
      <c r="K296" t="s">
        <v>953</v>
      </c>
      <c r="L296" t="s">
        <v>954</v>
      </c>
      <c r="M296" s="4">
        <v>0.56999999999999995</v>
      </c>
      <c r="N296" s="4">
        <v>0.64</v>
      </c>
    </row>
    <row r="297" spans="1:14" x14ac:dyDescent="0.4">
      <c r="A297">
        <v>296</v>
      </c>
      <c r="B297">
        <v>2014</v>
      </c>
      <c r="C297" t="s">
        <v>955</v>
      </c>
      <c r="D297" t="str">
        <f>HYPERLINK("https://ota.tournamentsoftware.com/player-profile/3A43E7FB-647C-4296-8E8D-106421DC2080", "Link")</f>
        <v>Link</v>
      </c>
      <c r="E297" s="2">
        <v>615.35599999999999</v>
      </c>
      <c r="F297" s="3">
        <v>16</v>
      </c>
      <c r="G297" t="s">
        <v>20</v>
      </c>
      <c r="H297" t="s">
        <v>809</v>
      </c>
      <c r="I297">
        <v>28.5</v>
      </c>
      <c r="J297" s="3">
        <v>246</v>
      </c>
      <c r="K297" t="s">
        <v>956</v>
      </c>
      <c r="L297" t="s">
        <v>957</v>
      </c>
      <c r="M297" s="4">
        <v>0.5</v>
      </c>
      <c r="N297" s="4">
        <v>0.53</v>
      </c>
    </row>
    <row r="298" spans="1:14" x14ac:dyDescent="0.4">
      <c r="A298">
        <v>297</v>
      </c>
      <c r="B298">
        <v>2015</v>
      </c>
      <c r="C298" t="s">
        <v>958</v>
      </c>
      <c r="D298" t="str">
        <f>HYPERLINK("https://ota.tournamentsoftware.com/player-profile/F90E2576-5989-4051-9E1F-45C789378967", "Link")</f>
        <v>Link</v>
      </c>
      <c r="E298" s="2">
        <v>613.70500000000004</v>
      </c>
      <c r="F298" s="3">
        <v>11</v>
      </c>
      <c r="G298" t="s">
        <v>15</v>
      </c>
      <c r="H298" t="s">
        <v>271</v>
      </c>
      <c r="I298">
        <v>30.1</v>
      </c>
      <c r="J298" s="3">
        <v>157</v>
      </c>
      <c r="K298" t="s">
        <v>959</v>
      </c>
      <c r="L298" t="s">
        <v>960</v>
      </c>
      <c r="M298" s="4">
        <v>0.51</v>
      </c>
      <c r="N298" s="4">
        <v>0.61</v>
      </c>
    </row>
    <row r="299" spans="1:14" x14ac:dyDescent="0.4">
      <c r="A299">
        <v>298</v>
      </c>
      <c r="B299">
        <v>2011</v>
      </c>
      <c r="C299" t="s">
        <v>961</v>
      </c>
      <c r="D299" t="str">
        <f>HYPERLINK("https://ota.tournamentsoftware.com/player-profile/7CAF005F-1602-41E9-86A1-64EDA2A11824", "Link")</f>
        <v>Link</v>
      </c>
      <c r="E299" s="2">
        <v>612.89800000000002</v>
      </c>
      <c r="F299" s="3">
        <v>25</v>
      </c>
      <c r="G299" t="s">
        <v>25</v>
      </c>
      <c r="H299" t="s">
        <v>182</v>
      </c>
      <c r="I299">
        <v>30.1</v>
      </c>
      <c r="J299" s="3">
        <v>145</v>
      </c>
      <c r="K299" t="s">
        <v>962</v>
      </c>
      <c r="L299" t="s">
        <v>963</v>
      </c>
      <c r="M299" s="4">
        <v>0.31</v>
      </c>
      <c r="N299" s="4">
        <v>0.32</v>
      </c>
    </row>
    <row r="300" spans="1:14" x14ac:dyDescent="0.4">
      <c r="A300">
        <v>299</v>
      </c>
      <c r="B300">
        <v>2014</v>
      </c>
      <c r="C300" t="s">
        <v>964</v>
      </c>
      <c r="D300" t="str">
        <f>HYPERLINK("https://ota.tournamentsoftware.com/player-profile/FE127D3B-825E-4C4F-9666-BA4529348FE4", "Link")</f>
        <v>Link</v>
      </c>
      <c r="E300" s="2">
        <v>610.30100000000004</v>
      </c>
      <c r="F300" s="3">
        <v>19</v>
      </c>
      <c r="G300" t="s">
        <v>109</v>
      </c>
      <c r="H300" t="s">
        <v>387</v>
      </c>
      <c r="I300">
        <v>28.2</v>
      </c>
      <c r="J300" s="3">
        <v>208</v>
      </c>
      <c r="K300" t="s">
        <v>965</v>
      </c>
      <c r="L300" t="s">
        <v>966</v>
      </c>
      <c r="M300" s="4">
        <v>0.68</v>
      </c>
      <c r="N300" s="4">
        <v>0.7</v>
      </c>
    </row>
    <row r="301" spans="1:14" x14ac:dyDescent="0.4">
      <c r="A301">
        <v>300</v>
      </c>
      <c r="B301">
        <v>2012</v>
      </c>
      <c r="C301" t="s">
        <v>967</v>
      </c>
      <c r="D301" t="str">
        <f>HYPERLINK("https://ota.tournamentsoftware.com/player-profile/3D68BE77-5DE2-40D9-BCC3-C836A764F3EF", "Link")</f>
        <v>Link</v>
      </c>
      <c r="E301" s="2">
        <v>608.6</v>
      </c>
      <c r="F301" s="3">
        <v>19</v>
      </c>
      <c r="G301" t="s">
        <v>20</v>
      </c>
      <c r="H301" t="s">
        <v>21</v>
      </c>
      <c r="I301">
        <v>27.2</v>
      </c>
      <c r="J301" s="3">
        <v>147</v>
      </c>
      <c r="K301" t="s">
        <v>968</v>
      </c>
      <c r="L301" t="s">
        <v>969</v>
      </c>
      <c r="M301" s="4">
        <v>0.68</v>
      </c>
      <c r="N301" s="4">
        <v>0.7</v>
      </c>
    </row>
    <row r="302" spans="1:14" x14ac:dyDescent="0.4">
      <c r="A302">
        <v>301</v>
      </c>
      <c r="B302">
        <v>2014</v>
      </c>
      <c r="C302" t="s">
        <v>970</v>
      </c>
      <c r="D302" t="str">
        <f>HYPERLINK("https://ota.tournamentsoftware.com/player-profile/5653599F-FFB6-46FA-B574-E53D7FBC278E", "Link")</f>
        <v>Link</v>
      </c>
      <c r="E302" s="2">
        <v>607.42200000000003</v>
      </c>
      <c r="F302" s="3">
        <v>23</v>
      </c>
      <c r="G302" t="s">
        <v>29</v>
      </c>
      <c r="H302" t="s">
        <v>471</v>
      </c>
      <c r="I302">
        <v>30.1</v>
      </c>
      <c r="J302" s="3">
        <v>230</v>
      </c>
      <c r="K302" t="s">
        <v>971</v>
      </c>
      <c r="L302" t="s">
        <v>972</v>
      </c>
      <c r="M302" s="4">
        <v>0.54</v>
      </c>
      <c r="N302" s="4">
        <v>0.4</v>
      </c>
    </row>
    <row r="303" spans="1:14" x14ac:dyDescent="0.4">
      <c r="A303">
        <v>302</v>
      </c>
      <c r="B303">
        <v>2010</v>
      </c>
      <c r="C303" t="s">
        <v>973</v>
      </c>
      <c r="D303" t="str">
        <f>HYPERLINK("https://ota.tournamentsoftware.com/player-profile/9A1E6702-34A8-4C98-B543-5FD69536828A", "Link")</f>
        <v>Link</v>
      </c>
      <c r="E303" s="2">
        <v>602.38400000000001</v>
      </c>
      <c r="F303" s="3">
        <v>20</v>
      </c>
      <c r="G303" t="s">
        <v>29</v>
      </c>
      <c r="H303" t="s">
        <v>974</v>
      </c>
      <c r="I303">
        <v>31.2</v>
      </c>
      <c r="J303" s="3">
        <v>117</v>
      </c>
      <c r="K303" t="s">
        <v>975</v>
      </c>
      <c r="L303" t="s">
        <v>976</v>
      </c>
      <c r="M303" s="4">
        <v>0.36</v>
      </c>
      <c r="N303" s="4">
        <v>0.4</v>
      </c>
    </row>
    <row r="304" spans="1:14" x14ac:dyDescent="0.4">
      <c r="A304">
        <v>303</v>
      </c>
      <c r="B304">
        <v>2013</v>
      </c>
      <c r="C304" t="s">
        <v>977</v>
      </c>
      <c r="D304" t="str">
        <f>HYPERLINK("https://ota.tournamentsoftware.com/player-profile/F1255585-993D-4DBF-ADE9-E5818DCBA131", "Link")</f>
        <v>Link</v>
      </c>
      <c r="E304" s="2">
        <v>601.10299999999995</v>
      </c>
      <c r="F304" s="3">
        <v>16</v>
      </c>
      <c r="G304" t="s">
        <v>109</v>
      </c>
      <c r="H304" t="s">
        <v>110</v>
      </c>
      <c r="I304" t="s">
        <v>48</v>
      </c>
      <c r="J304" s="3">
        <v>124</v>
      </c>
      <c r="K304" t="s">
        <v>978</v>
      </c>
      <c r="L304" t="s">
        <v>979</v>
      </c>
      <c r="M304" s="4">
        <v>0.48</v>
      </c>
      <c r="N304" s="4">
        <v>0.54</v>
      </c>
    </row>
    <row r="305" spans="1:14" x14ac:dyDescent="0.4">
      <c r="A305">
        <v>304</v>
      </c>
      <c r="B305">
        <v>2013</v>
      </c>
      <c r="C305" t="s">
        <v>980</v>
      </c>
      <c r="D305" t="str">
        <f>HYPERLINK("https://ota.tournamentsoftware.com/player-profile/8BAE5D37-8145-43F6-9016-30DDC5E4E994", "Link")</f>
        <v>Link</v>
      </c>
      <c r="E305" s="2">
        <v>587.99199999999996</v>
      </c>
      <c r="F305" s="3">
        <v>22</v>
      </c>
      <c r="G305" t="s">
        <v>29</v>
      </c>
      <c r="H305" t="s">
        <v>937</v>
      </c>
      <c r="I305">
        <v>30.3</v>
      </c>
      <c r="J305" s="3">
        <v>196</v>
      </c>
      <c r="K305" t="s">
        <v>981</v>
      </c>
      <c r="L305" t="s">
        <v>547</v>
      </c>
      <c r="M305" s="4">
        <v>0.49</v>
      </c>
      <c r="N305" s="4">
        <v>0.52</v>
      </c>
    </row>
    <row r="306" spans="1:14" x14ac:dyDescent="0.4">
      <c r="A306">
        <v>305</v>
      </c>
      <c r="B306">
        <v>2010</v>
      </c>
      <c r="C306" t="s">
        <v>982</v>
      </c>
      <c r="D306" t="str">
        <f>HYPERLINK("https://ota.tournamentsoftware.com/player-profile/94EA14E3-BBC2-4066-8A86-BD1BCC214CD2", "Link")</f>
        <v>Link</v>
      </c>
      <c r="E306" s="2">
        <v>585.49</v>
      </c>
      <c r="F306" s="3">
        <v>11</v>
      </c>
      <c r="G306" t="s">
        <v>20</v>
      </c>
      <c r="H306" t="s">
        <v>16</v>
      </c>
      <c r="I306">
        <v>27.6</v>
      </c>
      <c r="J306" s="3">
        <v>138</v>
      </c>
      <c r="K306" t="s">
        <v>983</v>
      </c>
      <c r="L306" t="s">
        <v>984</v>
      </c>
      <c r="M306" s="4">
        <v>0.61</v>
      </c>
      <c r="N306" s="4">
        <v>0.54</v>
      </c>
    </row>
    <row r="307" spans="1:14" x14ac:dyDescent="0.4">
      <c r="A307">
        <v>306</v>
      </c>
      <c r="B307">
        <v>2013</v>
      </c>
      <c r="C307" t="s">
        <v>985</v>
      </c>
      <c r="D307" t="str">
        <f>HYPERLINK("https://ota.tournamentsoftware.com/player-profile/69712725-5DA5-49A3-9C42-5A05BBB6B230", "Link")</f>
        <v>Link</v>
      </c>
      <c r="E307" s="2">
        <v>583.94200000000001</v>
      </c>
      <c r="F307" s="3">
        <v>16</v>
      </c>
      <c r="G307" t="s">
        <v>109</v>
      </c>
      <c r="H307" t="s">
        <v>110</v>
      </c>
      <c r="I307">
        <v>29.2</v>
      </c>
      <c r="J307" s="3">
        <v>184</v>
      </c>
      <c r="K307" t="s">
        <v>986</v>
      </c>
      <c r="L307" t="s">
        <v>987</v>
      </c>
      <c r="M307" s="4">
        <v>0.47</v>
      </c>
      <c r="N307" s="4">
        <v>0.45</v>
      </c>
    </row>
    <row r="308" spans="1:14" x14ac:dyDescent="0.4">
      <c r="A308">
        <v>307</v>
      </c>
      <c r="B308">
        <v>2012</v>
      </c>
      <c r="C308" t="s">
        <v>988</v>
      </c>
      <c r="D308" t="str">
        <f>HYPERLINK("https://ota.tournamentsoftware.com/player-profile/0FC1E5E7-0316-49C4-95C5-C429E3032398", "Link")</f>
        <v>Link</v>
      </c>
      <c r="E308" s="2">
        <v>583.375</v>
      </c>
      <c r="F308" s="3">
        <v>17</v>
      </c>
      <c r="G308" t="s">
        <v>109</v>
      </c>
      <c r="H308" t="s">
        <v>110</v>
      </c>
      <c r="I308">
        <v>28.6</v>
      </c>
      <c r="J308" s="3">
        <v>149</v>
      </c>
      <c r="K308" t="s">
        <v>989</v>
      </c>
      <c r="L308" t="s">
        <v>990</v>
      </c>
      <c r="M308" s="4">
        <v>0.43</v>
      </c>
      <c r="N308" s="4">
        <v>0.42</v>
      </c>
    </row>
    <row r="309" spans="1:14" x14ac:dyDescent="0.4">
      <c r="A309">
        <v>308</v>
      </c>
      <c r="B309">
        <v>2012</v>
      </c>
      <c r="C309" t="s">
        <v>991</v>
      </c>
      <c r="D309" t="str">
        <f>HYPERLINK("https://ota.tournamentsoftware.com/player-profile/D4DBD3FF-74D7-4D84-BB8F-104CA729E69E", "Link")</f>
        <v>Link</v>
      </c>
      <c r="E309" s="2">
        <v>579.14800000000002</v>
      </c>
      <c r="F309" s="3">
        <v>14</v>
      </c>
      <c r="G309" t="s">
        <v>25</v>
      </c>
      <c r="H309" t="s">
        <v>26</v>
      </c>
      <c r="I309">
        <v>29</v>
      </c>
      <c r="J309" s="3">
        <v>186</v>
      </c>
      <c r="K309" t="s">
        <v>556</v>
      </c>
      <c r="L309" t="s">
        <v>992</v>
      </c>
      <c r="M309" s="4">
        <v>0.49</v>
      </c>
      <c r="N309" s="4">
        <v>0.36</v>
      </c>
    </row>
    <row r="310" spans="1:14" x14ac:dyDescent="0.4">
      <c r="A310">
        <v>309</v>
      </c>
      <c r="B310">
        <v>2012</v>
      </c>
      <c r="C310" t="s">
        <v>993</v>
      </c>
      <c r="D310" t="str">
        <f>HYPERLINK("https://ota.tournamentsoftware.com/player-profile/973A8D96-42F5-42BC-9DF2-0A195E1A983F", "Link")</f>
        <v>Link</v>
      </c>
      <c r="E310" s="2">
        <v>574.07000000000005</v>
      </c>
      <c r="F310" s="3">
        <v>21</v>
      </c>
      <c r="G310" t="s">
        <v>20</v>
      </c>
      <c r="H310" t="s">
        <v>43</v>
      </c>
      <c r="I310">
        <v>28.5</v>
      </c>
      <c r="J310" s="3">
        <v>265</v>
      </c>
      <c r="K310" t="s">
        <v>994</v>
      </c>
      <c r="L310" t="s">
        <v>995</v>
      </c>
      <c r="M310" s="4">
        <v>0.6</v>
      </c>
      <c r="N310" s="4">
        <v>0.56999999999999995</v>
      </c>
    </row>
    <row r="311" spans="1:14" x14ac:dyDescent="0.4">
      <c r="A311">
        <v>310</v>
      </c>
      <c r="B311">
        <v>2010</v>
      </c>
      <c r="C311" t="s">
        <v>996</v>
      </c>
      <c r="D311" t="str">
        <f>HYPERLINK("https://ota.tournamentsoftware.com/player-profile/60243309-B3E4-44DE-85A8-5E2647568CDA", "Link")</f>
        <v>Link</v>
      </c>
      <c r="E311" s="2">
        <v>572.44600000000003</v>
      </c>
      <c r="F311" s="3">
        <v>4</v>
      </c>
      <c r="G311" t="s">
        <v>29</v>
      </c>
      <c r="H311" t="s">
        <v>997</v>
      </c>
      <c r="I311">
        <v>29</v>
      </c>
      <c r="J311" s="3">
        <v>70</v>
      </c>
      <c r="K311" t="s">
        <v>998</v>
      </c>
      <c r="L311" t="s">
        <v>999</v>
      </c>
      <c r="M311" s="4">
        <v>0.47</v>
      </c>
      <c r="N311" s="4">
        <v>0.43</v>
      </c>
    </row>
    <row r="312" spans="1:14" x14ac:dyDescent="0.4">
      <c r="A312">
        <v>311</v>
      </c>
      <c r="B312">
        <v>2014</v>
      </c>
      <c r="C312" t="s">
        <v>1000</v>
      </c>
      <c r="D312" t="str">
        <f>HYPERLINK("https://ota.tournamentsoftware.com/player-profile/5C3C8ABA-3BF6-4232-B65C-B26C16207D0A", "Link")</f>
        <v>Link</v>
      </c>
      <c r="E312" s="2">
        <v>569.08500000000004</v>
      </c>
      <c r="F312" s="3">
        <v>18</v>
      </c>
      <c r="G312" t="s">
        <v>25</v>
      </c>
      <c r="H312" t="s">
        <v>182</v>
      </c>
      <c r="I312" t="s">
        <v>48</v>
      </c>
      <c r="J312" s="3">
        <v>210</v>
      </c>
      <c r="K312" t="s">
        <v>1001</v>
      </c>
      <c r="L312" t="s">
        <v>1002</v>
      </c>
      <c r="M312" s="4">
        <v>0.51</v>
      </c>
      <c r="N312" s="4">
        <v>0.6</v>
      </c>
    </row>
    <row r="313" spans="1:14" x14ac:dyDescent="0.4">
      <c r="A313">
        <v>312</v>
      </c>
      <c r="B313">
        <v>2012</v>
      </c>
      <c r="C313" t="s">
        <v>1003</v>
      </c>
      <c r="D313" t="str">
        <f>HYPERLINK("https://ota.tournamentsoftware.com/player-profile/CE7FB59F-F5CB-4CA3-A3EB-27DC05EB2B7D", "Link")</f>
        <v>Link</v>
      </c>
      <c r="E313" s="2">
        <v>568.77099999999996</v>
      </c>
      <c r="F313" s="3">
        <v>13</v>
      </c>
      <c r="G313" t="s">
        <v>109</v>
      </c>
      <c r="H313" t="s">
        <v>387</v>
      </c>
      <c r="I313" t="s">
        <v>48</v>
      </c>
      <c r="J313" s="3">
        <v>156</v>
      </c>
      <c r="K313" t="s">
        <v>1004</v>
      </c>
      <c r="L313" t="s">
        <v>1005</v>
      </c>
      <c r="M313" s="4">
        <v>0.49</v>
      </c>
      <c r="N313" s="4">
        <v>0.45</v>
      </c>
    </row>
    <row r="314" spans="1:14" x14ac:dyDescent="0.4">
      <c r="A314">
        <v>313</v>
      </c>
      <c r="B314">
        <v>2013</v>
      </c>
      <c r="C314" t="s">
        <v>1006</v>
      </c>
      <c r="D314" t="str">
        <f>HYPERLINK("https://ota.tournamentsoftware.com/player-profile/FA516D57-03A4-4F2E-810D-864F5732F5CE", "Link")</f>
        <v>Link</v>
      </c>
      <c r="E314" s="2">
        <v>559.52</v>
      </c>
      <c r="F314" s="3">
        <v>21</v>
      </c>
      <c r="G314" t="s">
        <v>29</v>
      </c>
      <c r="H314" t="s">
        <v>1007</v>
      </c>
      <c r="I314">
        <v>31.8</v>
      </c>
      <c r="J314" s="3">
        <v>92</v>
      </c>
      <c r="K314" t="s">
        <v>1008</v>
      </c>
      <c r="L314" t="s">
        <v>889</v>
      </c>
      <c r="M314" s="4">
        <v>0.39</v>
      </c>
      <c r="N314" s="4">
        <v>0.35</v>
      </c>
    </row>
    <row r="315" spans="1:14" x14ac:dyDescent="0.4">
      <c r="A315">
        <v>314</v>
      </c>
      <c r="B315">
        <v>2015</v>
      </c>
      <c r="C315" t="s">
        <v>1009</v>
      </c>
      <c r="D315" t="str">
        <f>HYPERLINK("https://ota.tournamentsoftware.com/player-profile/DCE433A3-22C1-4484-BA5B-62931094794E", "Link")</f>
        <v>Link</v>
      </c>
      <c r="E315" s="2">
        <v>559.02099999999996</v>
      </c>
      <c r="F315" s="3">
        <v>13</v>
      </c>
      <c r="G315" t="s">
        <v>185</v>
      </c>
      <c r="H315" t="s">
        <v>186</v>
      </c>
      <c r="I315">
        <v>33</v>
      </c>
      <c r="J315" s="3">
        <v>78</v>
      </c>
      <c r="K315" t="s">
        <v>1010</v>
      </c>
      <c r="L315" t="s">
        <v>1011</v>
      </c>
      <c r="M315" s="4">
        <v>0.4</v>
      </c>
      <c r="N315" s="4">
        <v>0.46</v>
      </c>
    </row>
    <row r="316" spans="1:14" x14ac:dyDescent="0.4">
      <c r="A316">
        <v>315</v>
      </c>
      <c r="B316">
        <v>2015</v>
      </c>
      <c r="C316" t="s">
        <v>1012</v>
      </c>
      <c r="D316" t="str">
        <f>HYPERLINK("https://ota.tournamentsoftware.com/player-profile/2E73021E-DEDD-484B-95FC-00429D223FB2", "Link")</f>
        <v>Link</v>
      </c>
      <c r="E316" s="2">
        <v>554.13300000000004</v>
      </c>
      <c r="F316" s="3">
        <v>23</v>
      </c>
      <c r="G316" t="s">
        <v>25</v>
      </c>
      <c r="H316" t="s">
        <v>311</v>
      </c>
      <c r="I316">
        <v>30.2</v>
      </c>
      <c r="J316" s="3">
        <v>142</v>
      </c>
      <c r="K316" t="s">
        <v>1013</v>
      </c>
      <c r="L316" t="s">
        <v>1014</v>
      </c>
      <c r="M316" s="4">
        <v>0.61</v>
      </c>
      <c r="N316" s="4">
        <v>0.53</v>
      </c>
    </row>
    <row r="317" spans="1:14" x14ac:dyDescent="0.4">
      <c r="A317">
        <v>316</v>
      </c>
      <c r="B317">
        <v>2015</v>
      </c>
      <c r="C317" t="s">
        <v>1015</v>
      </c>
      <c r="D317" t="str">
        <f>HYPERLINK("https://ota.tournamentsoftware.com/player-profile/2F68C1DC-1A19-4E3A-AF58-6DC4541843F2", "Link")</f>
        <v>Link</v>
      </c>
      <c r="E317" s="2">
        <v>553.75900000000001</v>
      </c>
      <c r="F317" s="3">
        <v>26</v>
      </c>
      <c r="G317" t="s">
        <v>20</v>
      </c>
      <c r="H317" t="s">
        <v>16</v>
      </c>
      <c r="I317">
        <v>28.9</v>
      </c>
      <c r="J317" s="3">
        <v>239</v>
      </c>
      <c r="K317" t="s">
        <v>1016</v>
      </c>
      <c r="L317" t="s">
        <v>1017</v>
      </c>
      <c r="M317" s="4">
        <v>0.6</v>
      </c>
      <c r="N317" s="4">
        <v>0.65</v>
      </c>
    </row>
    <row r="318" spans="1:14" x14ac:dyDescent="0.4">
      <c r="A318">
        <v>317</v>
      </c>
      <c r="B318">
        <v>2011</v>
      </c>
      <c r="C318" t="s">
        <v>1018</v>
      </c>
      <c r="D318" t="str">
        <f>HYPERLINK("https://ota.tournamentsoftware.com/player-profile/F3880C29-9064-4F34-9F9C-A214A4482B19", "Link")</f>
        <v>Link</v>
      </c>
      <c r="E318" s="2">
        <v>552.80700000000002</v>
      </c>
      <c r="F318" s="3">
        <v>16</v>
      </c>
      <c r="G318" t="s">
        <v>25</v>
      </c>
      <c r="H318" t="s">
        <v>545</v>
      </c>
      <c r="I318">
        <v>32.1</v>
      </c>
      <c r="J318" s="3">
        <v>125</v>
      </c>
      <c r="K318" t="s">
        <v>1019</v>
      </c>
      <c r="L318" t="s">
        <v>1020</v>
      </c>
      <c r="M318" s="4">
        <v>0.31</v>
      </c>
      <c r="N318" s="4">
        <v>0.18</v>
      </c>
    </row>
    <row r="319" spans="1:14" x14ac:dyDescent="0.4">
      <c r="A319">
        <v>318</v>
      </c>
      <c r="B319">
        <v>2015</v>
      </c>
      <c r="C319" t="s">
        <v>1021</v>
      </c>
      <c r="D319" t="str">
        <f>HYPERLINK("https://ota.tournamentsoftware.com/player-profile/62C41ADF-8A1D-416E-AAF9-4C80ECB74645", "Link")</f>
        <v>Link</v>
      </c>
      <c r="E319" s="2">
        <v>552.08000000000004</v>
      </c>
      <c r="F319" s="3">
        <v>30</v>
      </c>
      <c r="G319" t="s">
        <v>29</v>
      </c>
      <c r="H319" t="s">
        <v>16</v>
      </c>
      <c r="I319">
        <v>30.9</v>
      </c>
      <c r="J319" s="3">
        <v>156</v>
      </c>
      <c r="K319" t="s">
        <v>1022</v>
      </c>
      <c r="L319" t="s">
        <v>1023</v>
      </c>
      <c r="M319" s="4">
        <v>0.64</v>
      </c>
      <c r="N319" s="4">
        <v>0.63</v>
      </c>
    </row>
    <row r="320" spans="1:14" x14ac:dyDescent="0.4">
      <c r="A320">
        <v>319</v>
      </c>
      <c r="B320">
        <v>2014</v>
      </c>
      <c r="C320" t="s">
        <v>1024</v>
      </c>
      <c r="D320" t="str">
        <f>HYPERLINK("https://ota.tournamentsoftware.com/player-profile/E101E3D0-39D8-4861-AB44-D9BE1C346E1E", "Link")</f>
        <v>Link</v>
      </c>
      <c r="E320" s="2">
        <v>550.77099999999996</v>
      </c>
      <c r="F320" s="3">
        <v>23</v>
      </c>
      <c r="G320" t="s">
        <v>25</v>
      </c>
      <c r="H320" t="s">
        <v>240</v>
      </c>
      <c r="I320">
        <v>31.5</v>
      </c>
      <c r="J320" s="3">
        <v>121</v>
      </c>
      <c r="K320" t="s">
        <v>1025</v>
      </c>
      <c r="L320" t="s">
        <v>1026</v>
      </c>
      <c r="M320" s="4">
        <v>0.54</v>
      </c>
      <c r="N320" s="4">
        <v>0.51</v>
      </c>
    </row>
    <row r="321" spans="1:14" x14ac:dyDescent="0.4">
      <c r="A321">
        <v>320</v>
      </c>
      <c r="B321">
        <v>2011</v>
      </c>
      <c r="C321" t="s">
        <v>1027</v>
      </c>
      <c r="D321" t="str">
        <f>HYPERLINK("https://ota.tournamentsoftware.com/player-profile/74B0BD7B-B3D5-4870-A7F1-D1A097EA4F14", "Link")</f>
        <v>Link</v>
      </c>
      <c r="E321" s="2">
        <v>542.87</v>
      </c>
      <c r="F321" s="3">
        <v>9</v>
      </c>
      <c r="G321" t="s">
        <v>29</v>
      </c>
      <c r="H321" t="s">
        <v>1028</v>
      </c>
      <c r="I321" t="s">
        <v>48</v>
      </c>
      <c r="J321" s="3">
        <v>203</v>
      </c>
      <c r="K321" t="s">
        <v>1029</v>
      </c>
      <c r="L321" t="s">
        <v>1030</v>
      </c>
      <c r="M321" s="4">
        <v>0.6</v>
      </c>
      <c r="N321" s="4">
        <v>0.25</v>
      </c>
    </row>
    <row r="322" spans="1:14" x14ac:dyDescent="0.4">
      <c r="A322">
        <v>321</v>
      </c>
      <c r="B322">
        <v>2012</v>
      </c>
      <c r="C322" t="s">
        <v>1031</v>
      </c>
      <c r="D322" t="str">
        <f>HYPERLINK("https://ota.tournamentsoftware.com/player-profile/A59841ED-F3F4-4773-A197-5502453988FE", "Link")</f>
        <v>Link</v>
      </c>
      <c r="E322" s="2">
        <v>541.67899999999997</v>
      </c>
      <c r="F322" s="3">
        <v>31</v>
      </c>
      <c r="G322" t="s">
        <v>25</v>
      </c>
      <c r="H322" t="s">
        <v>311</v>
      </c>
      <c r="I322">
        <v>30.3</v>
      </c>
      <c r="J322" s="3">
        <v>285</v>
      </c>
      <c r="K322" t="s">
        <v>1032</v>
      </c>
      <c r="L322" t="s">
        <v>1033</v>
      </c>
      <c r="M322" s="4">
        <v>0.4</v>
      </c>
      <c r="N322" s="4">
        <v>0.4</v>
      </c>
    </row>
    <row r="323" spans="1:14" x14ac:dyDescent="0.4">
      <c r="A323">
        <v>322</v>
      </c>
      <c r="B323">
        <v>2013</v>
      </c>
      <c r="C323" t="s">
        <v>1034</v>
      </c>
      <c r="D323" t="str">
        <f>HYPERLINK("https://ota.tournamentsoftware.com/player-profile/ACCBCF37-0334-4ED1-B564-DFD6E35F3445", "Link")</f>
        <v>Link</v>
      </c>
      <c r="E323" s="2">
        <v>541.42499999999995</v>
      </c>
      <c r="F323" s="3">
        <v>21</v>
      </c>
      <c r="G323" t="s">
        <v>25</v>
      </c>
      <c r="H323" t="s">
        <v>289</v>
      </c>
      <c r="I323">
        <v>30.5</v>
      </c>
      <c r="J323" s="3">
        <v>192</v>
      </c>
      <c r="K323" t="s">
        <v>1035</v>
      </c>
      <c r="L323" t="s">
        <v>1036</v>
      </c>
      <c r="M323" s="4">
        <v>0.47</v>
      </c>
      <c r="N323" s="4">
        <v>0.46</v>
      </c>
    </row>
    <row r="324" spans="1:14" x14ac:dyDescent="0.4">
      <c r="A324">
        <v>323</v>
      </c>
      <c r="B324">
        <v>2013</v>
      </c>
      <c r="C324" t="s">
        <v>1037</v>
      </c>
      <c r="D324" t="str">
        <f>HYPERLINK("https://ota.tournamentsoftware.com/player-profile/9A3C1326-AE04-42FE-BCE6-AF95D32715F8", "Link")</f>
        <v>Link</v>
      </c>
      <c r="E324" s="2">
        <v>541.03499999999997</v>
      </c>
      <c r="F324" s="3">
        <v>18</v>
      </c>
      <c r="G324" t="s">
        <v>29</v>
      </c>
      <c r="H324" t="s">
        <v>471</v>
      </c>
      <c r="I324">
        <v>29.1</v>
      </c>
      <c r="J324" s="3">
        <v>188</v>
      </c>
      <c r="K324" t="s">
        <v>1038</v>
      </c>
      <c r="L324" t="s">
        <v>1039</v>
      </c>
      <c r="M324" s="4">
        <v>0.59</v>
      </c>
      <c r="N324" s="4">
        <v>0.44</v>
      </c>
    </row>
    <row r="325" spans="1:14" x14ac:dyDescent="0.4">
      <c r="A325">
        <v>324</v>
      </c>
      <c r="B325">
        <v>2011</v>
      </c>
      <c r="C325" t="s">
        <v>1040</v>
      </c>
      <c r="D325" t="str">
        <f>HYPERLINK("https://ota.tournamentsoftware.com/player-profile/B1E34110-2C72-440F-A78C-4378C0C67348", "Link")</f>
        <v>Link</v>
      </c>
      <c r="E325" s="2">
        <v>538.36300000000006</v>
      </c>
      <c r="F325" s="3">
        <v>3</v>
      </c>
      <c r="G325" t="s">
        <v>497</v>
      </c>
      <c r="H325" t="s">
        <v>498</v>
      </c>
      <c r="I325" t="s">
        <v>48</v>
      </c>
      <c r="J325" s="3">
        <v>73</v>
      </c>
      <c r="K325" t="s">
        <v>1041</v>
      </c>
      <c r="L325" t="s">
        <v>892</v>
      </c>
      <c r="M325" s="4">
        <v>0.48</v>
      </c>
      <c r="N325" s="4">
        <v>0.5</v>
      </c>
    </row>
    <row r="326" spans="1:14" x14ac:dyDescent="0.4">
      <c r="A326">
        <v>325</v>
      </c>
      <c r="B326">
        <v>2012</v>
      </c>
      <c r="C326" t="s">
        <v>1042</v>
      </c>
      <c r="D326" t="str">
        <f>HYPERLINK("https://ota.tournamentsoftware.com/player-profile/F5996998-771E-46C9-A222-1C90911DD4C3", "Link")</f>
        <v>Link</v>
      </c>
      <c r="E326" s="2">
        <v>534.77</v>
      </c>
      <c r="F326" s="3">
        <v>29</v>
      </c>
      <c r="G326" t="s">
        <v>29</v>
      </c>
      <c r="H326" t="s">
        <v>70</v>
      </c>
      <c r="I326">
        <v>31.7</v>
      </c>
      <c r="J326" s="3">
        <v>125</v>
      </c>
      <c r="K326" t="s">
        <v>1043</v>
      </c>
      <c r="L326" t="s">
        <v>1044</v>
      </c>
      <c r="M326" s="4">
        <v>0.45</v>
      </c>
      <c r="N326" s="4">
        <v>0.31</v>
      </c>
    </row>
    <row r="327" spans="1:14" x14ac:dyDescent="0.4">
      <c r="A327">
        <v>326</v>
      </c>
      <c r="B327">
        <v>2010</v>
      </c>
      <c r="C327" t="s">
        <v>1045</v>
      </c>
      <c r="D327" t="str">
        <f>HYPERLINK("https://ota.tournamentsoftware.com/player-profile/3FC9446D-CA02-4294-ABBB-9B1C0A42529B", "Link")</f>
        <v>Link</v>
      </c>
      <c r="E327" s="2">
        <v>532.24599999999998</v>
      </c>
      <c r="F327" s="3">
        <v>12</v>
      </c>
      <c r="G327" t="s">
        <v>20</v>
      </c>
      <c r="H327" t="s">
        <v>16</v>
      </c>
      <c r="I327">
        <v>26.9</v>
      </c>
      <c r="J327" s="3">
        <v>169</v>
      </c>
      <c r="K327" t="s">
        <v>1046</v>
      </c>
      <c r="L327" t="s">
        <v>338</v>
      </c>
      <c r="M327" s="4">
        <v>0.6</v>
      </c>
      <c r="N327" s="4">
        <v>0.55000000000000004</v>
      </c>
    </row>
    <row r="328" spans="1:14" x14ac:dyDescent="0.4">
      <c r="A328">
        <v>327</v>
      </c>
      <c r="B328">
        <v>2015</v>
      </c>
      <c r="C328" t="s">
        <v>1047</v>
      </c>
      <c r="D328" t="str">
        <f>HYPERLINK("https://ota.tournamentsoftware.com/player-profile/DF18434B-FE2E-4647-9481-0DA91B5C9B92", "Link")</f>
        <v>Link</v>
      </c>
      <c r="E328" s="2">
        <v>532.04300000000001</v>
      </c>
      <c r="F328" s="3">
        <v>22</v>
      </c>
      <c r="G328" t="s">
        <v>20</v>
      </c>
      <c r="H328" t="s">
        <v>43</v>
      </c>
      <c r="I328">
        <v>28.1</v>
      </c>
      <c r="J328" s="3">
        <v>237</v>
      </c>
      <c r="K328" t="s">
        <v>1048</v>
      </c>
      <c r="L328" t="s">
        <v>960</v>
      </c>
      <c r="M328" s="4">
        <v>0.66</v>
      </c>
      <c r="N328" s="4">
        <v>0.61</v>
      </c>
    </row>
    <row r="329" spans="1:14" x14ac:dyDescent="0.4">
      <c r="A329">
        <v>328</v>
      </c>
      <c r="B329">
        <v>2011</v>
      </c>
      <c r="C329" t="s">
        <v>1049</v>
      </c>
      <c r="D329" t="str">
        <f>HYPERLINK("https://ota.tournamentsoftware.com/player-profile/6FD210EC-4F09-4F1B-A783-88CA692A6B48", "Link")</f>
        <v>Link</v>
      </c>
      <c r="E329" s="2">
        <v>528.17100000000005</v>
      </c>
      <c r="F329" s="3">
        <v>20</v>
      </c>
      <c r="G329" t="s">
        <v>29</v>
      </c>
      <c r="H329" t="s">
        <v>256</v>
      </c>
      <c r="I329">
        <v>32</v>
      </c>
      <c r="J329" s="3">
        <v>120</v>
      </c>
      <c r="K329" t="s">
        <v>1050</v>
      </c>
      <c r="L329" t="s">
        <v>1051</v>
      </c>
      <c r="M329" s="4">
        <v>0.39</v>
      </c>
      <c r="N329" s="4">
        <v>0.24</v>
      </c>
    </row>
    <row r="330" spans="1:14" x14ac:dyDescent="0.4">
      <c r="A330">
        <v>329</v>
      </c>
      <c r="B330">
        <v>2013</v>
      </c>
      <c r="C330" t="s">
        <v>1052</v>
      </c>
      <c r="D330" t="str">
        <f>HYPERLINK("https://ota.tournamentsoftware.com/player-profile/6AF626BE-D8F1-4939-AF03-813D0A17EE25", "Link")</f>
        <v>Link</v>
      </c>
      <c r="E330" s="2">
        <v>527.96799999999996</v>
      </c>
      <c r="F330" s="3">
        <v>9</v>
      </c>
      <c r="G330" t="s">
        <v>29</v>
      </c>
      <c r="H330" t="s">
        <v>277</v>
      </c>
      <c r="I330" t="s">
        <v>48</v>
      </c>
      <c r="J330" s="3">
        <v>76</v>
      </c>
      <c r="K330" t="s">
        <v>1053</v>
      </c>
      <c r="L330" t="s">
        <v>1054</v>
      </c>
      <c r="M330" s="4">
        <v>0.67</v>
      </c>
      <c r="N330" s="4">
        <v>0.73</v>
      </c>
    </row>
    <row r="331" spans="1:14" x14ac:dyDescent="0.4">
      <c r="A331">
        <v>330</v>
      </c>
      <c r="B331">
        <v>2011</v>
      </c>
      <c r="C331" t="s">
        <v>1055</v>
      </c>
      <c r="D331" t="str">
        <f>HYPERLINK("https://ota.tournamentsoftware.com/player-profile/9F4F9DAF-DE81-4DD7-A21A-68059BC071FF", "Link")</f>
        <v>Link</v>
      </c>
      <c r="E331" s="2">
        <v>524.75</v>
      </c>
      <c r="F331" s="3">
        <v>8</v>
      </c>
      <c r="G331" t="s">
        <v>20</v>
      </c>
      <c r="H331" t="s">
        <v>149</v>
      </c>
      <c r="I331">
        <v>29.7</v>
      </c>
      <c r="J331" s="3">
        <v>148</v>
      </c>
      <c r="K331" t="s">
        <v>1056</v>
      </c>
      <c r="L331" t="s">
        <v>1057</v>
      </c>
      <c r="M331" s="4">
        <v>0.56999999999999995</v>
      </c>
      <c r="N331" s="4">
        <v>0.47</v>
      </c>
    </row>
    <row r="332" spans="1:14" x14ac:dyDescent="0.4">
      <c r="A332">
        <v>331</v>
      </c>
      <c r="B332">
        <v>2014</v>
      </c>
      <c r="C332" t="s">
        <v>1058</v>
      </c>
      <c r="D332" t="str">
        <f>HYPERLINK("https://ota.tournamentsoftware.com/player-profile/B151CB64-D12D-48B2-8087-4EABB50157E8", "Link")</f>
        <v>Link</v>
      </c>
      <c r="E332" s="2">
        <v>522.81200000000001</v>
      </c>
      <c r="F332" s="3">
        <v>22</v>
      </c>
      <c r="G332" t="s">
        <v>25</v>
      </c>
      <c r="H332" t="s">
        <v>1059</v>
      </c>
      <c r="I332">
        <v>29.8</v>
      </c>
      <c r="J332" s="3">
        <v>216</v>
      </c>
      <c r="K332" t="s">
        <v>1060</v>
      </c>
      <c r="L332" t="s">
        <v>1061</v>
      </c>
      <c r="M332" s="4">
        <v>0.55000000000000004</v>
      </c>
      <c r="N332" s="4">
        <v>0.57999999999999996</v>
      </c>
    </row>
    <row r="333" spans="1:14" x14ac:dyDescent="0.4">
      <c r="A333">
        <v>332</v>
      </c>
      <c r="B333">
        <v>2012</v>
      </c>
      <c r="C333" t="s">
        <v>1062</v>
      </c>
      <c r="D333" t="str">
        <f>HYPERLINK("https://ota.tournamentsoftware.com/player-profile/3C191393-570A-4DF7-80D4-0613143CE54B", "Link")</f>
        <v>Link</v>
      </c>
      <c r="E333" s="2">
        <v>517.12</v>
      </c>
      <c r="F333" s="3">
        <v>18</v>
      </c>
      <c r="G333" t="s">
        <v>20</v>
      </c>
      <c r="H333" t="s">
        <v>16</v>
      </c>
      <c r="I333">
        <v>28.2</v>
      </c>
      <c r="J333" s="3">
        <v>226</v>
      </c>
      <c r="K333" t="s">
        <v>1063</v>
      </c>
      <c r="L333" t="s">
        <v>1064</v>
      </c>
      <c r="M333" s="4">
        <v>0.55000000000000004</v>
      </c>
      <c r="N333" s="4">
        <v>0.36</v>
      </c>
    </row>
    <row r="334" spans="1:14" x14ac:dyDescent="0.4">
      <c r="A334">
        <v>333</v>
      </c>
      <c r="B334">
        <v>2011</v>
      </c>
      <c r="C334" t="s">
        <v>1065</v>
      </c>
      <c r="D334" t="str">
        <f>HYPERLINK("https://ota.tournamentsoftware.com/player-profile/1B723E33-8AFC-4882-A814-B97DD2B99ECC", "Link")</f>
        <v>Link</v>
      </c>
      <c r="E334" s="2">
        <v>517.00300000000004</v>
      </c>
      <c r="F334" s="3">
        <v>5</v>
      </c>
      <c r="G334" t="s">
        <v>29</v>
      </c>
      <c r="H334" t="s">
        <v>364</v>
      </c>
      <c r="I334">
        <v>31.7</v>
      </c>
      <c r="J334" s="3">
        <v>120</v>
      </c>
      <c r="K334" t="s">
        <v>1066</v>
      </c>
      <c r="L334" t="s">
        <v>1030</v>
      </c>
      <c r="M334" s="4">
        <v>0.43</v>
      </c>
      <c r="N334" s="4">
        <v>0.25</v>
      </c>
    </row>
    <row r="335" spans="1:14" x14ac:dyDescent="0.4">
      <c r="A335">
        <v>334</v>
      </c>
      <c r="B335">
        <v>2012</v>
      </c>
      <c r="C335" t="s">
        <v>1067</v>
      </c>
      <c r="D335" t="str">
        <f>HYPERLINK("https://ota.tournamentsoftware.com/player-profile/665847C2-A172-4164-B9E1-C1030269B793", "Link")</f>
        <v>Link</v>
      </c>
      <c r="E335" s="2">
        <v>515.46500000000003</v>
      </c>
      <c r="F335" s="3">
        <v>20</v>
      </c>
      <c r="G335" t="s">
        <v>29</v>
      </c>
      <c r="H335" t="s">
        <v>1068</v>
      </c>
      <c r="I335">
        <v>30.6</v>
      </c>
      <c r="J335" s="3">
        <v>56</v>
      </c>
      <c r="K335" t="s">
        <v>1069</v>
      </c>
      <c r="L335" t="s">
        <v>895</v>
      </c>
      <c r="M335" s="4">
        <v>0.45</v>
      </c>
      <c r="N335" s="4">
        <v>0.47</v>
      </c>
    </row>
    <row r="336" spans="1:14" x14ac:dyDescent="0.4">
      <c r="A336">
        <v>335</v>
      </c>
      <c r="B336">
        <v>2013</v>
      </c>
      <c r="C336" t="s">
        <v>1070</v>
      </c>
      <c r="D336" t="str">
        <f>HYPERLINK("https://ota.tournamentsoftware.com/player-profile/57A742FF-F88B-4C14-A895-DA6559972095", "Link")</f>
        <v>Link</v>
      </c>
      <c r="E336" s="2">
        <v>514.60299999999995</v>
      </c>
      <c r="F336" s="3">
        <v>20</v>
      </c>
      <c r="G336" t="s">
        <v>25</v>
      </c>
      <c r="H336" t="s">
        <v>26</v>
      </c>
      <c r="I336">
        <v>29.6</v>
      </c>
      <c r="J336" s="3">
        <v>167</v>
      </c>
      <c r="K336" t="s">
        <v>1071</v>
      </c>
      <c r="L336" t="s">
        <v>855</v>
      </c>
      <c r="M336" s="4">
        <v>0.53</v>
      </c>
      <c r="N336" s="4">
        <v>0.56999999999999995</v>
      </c>
    </row>
    <row r="337" spans="1:14" x14ac:dyDescent="0.4">
      <c r="A337">
        <v>336</v>
      </c>
      <c r="B337">
        <v>2010</v>
      </c>
      <c r="C337" t="s">
        <v>1072</v>
      </c>
      <c r="D337" t="str">
        <f>HYPERLINK("https://ota.tournamentsoftware.com/player-profile/79A95959-0432-4677-83D8-4D79D0CC7523", "Link")</f>
        <v>Link</v>
      </c>
      <c r="E337" s="2">
        <v>512.46299999999997</v>
      </c>
      <c r="F337" s="3">
        <v>12</v>
      </c>
      <c r="G337" t="s">
        <v>109</v>
      </c>
      <c r="H337" t="s">
        <v>110</v>
      </c>
      <c r="I337">
        <v>23.1</v>
      </c>
      <c r="J337" s="3">
        <v>161</v>
      </c>
      <c r="K337" t="s">
        <v>1073</v>
      </c>
      <c r="L337" t="s">
        <v>338</v>
      </c>
      <c r="M337" s="4">
        <v>0.5</v>
      </c>
      <c r="N337" s="4">
        <v>0.55000000000000004</v>
      </c>
    </row>
    <row r="338" spans="1:14" x14ac:dyDescent="0.4">
      <c r="A338">
        <v>337</v>
      </c>
      <c r="B338">
        <v>2012</v>
      </c>
      <c r="C338" t="s">
        <v>1074</v>
      </c>
      <c r="D338" t="str">
        <f>HYPERLINK("https://ota.tournamentsoftware.com/player-profile/87DFD688-7475-43FD-B605-7E13CDDC471C", "Link")</f>
        <v>Link</v>
      </c>
      <c r="E338" s="2">
        <v>509.72500000000002</v>
      </c>
      <c r="F338" s="3">
        <v>18</v>
      </c>
      <c r="G338" t="s">
        <v>29</v>
      </c>
      <c r="H338" t="s">
        <v>1075</v>
      </c>
      <c r="I338">
        <v>32.4</v>
      </c>
      <c r="J338" s="3">
        <v>74</v>
      </c>
      <c r="K338" t="s">
        <v>1076</v>
      </c>
      <c r="L338" t="s">
        <v>1039</v>
      </c>
      <c r="M338" s="4">
        <v>0.3</v>
      </c>
      <c r="N338" s="4">
        <v>0.44</v>
      </c>
    </row>
    <row r="339" spans="1:14" x14ac:dyDescent="0.4">
      <c r="A339">
        <v>338</v>
      </c>
      <c r="B339">
        <v>2011</v>
      </c>
      <c r="C339" t="s">
        <v>1077</v>
      </c>
      <c r="D339" t="str">
        <f>HYPERLINK("https://ota.tournamentsoftware.com/player-profile/686ED1D6-80D7-413C-B98E-6B56B1D891AE", "Link")</f>
        <v>Link</v>
      </c>
      <c r="E339" s="2">
        <v>508.44</v>
      </c>
      <c r="F339" s="3">
        <v>20</v>
      </c>
      <c r="G339" t="s">
        <v>29</v>
      </c>
      <c r="H339" t="s">
        <v>1078</v>
      </c>
      <c r="I339">
        <v>30.7</v>
      </c>
      <c r="J339" s="3">
        <v>143</v>
      </c>
      <c r="K339" t="s">
        <v>1079</v>
      </c>
      <c r="L339" t="s">
        <v>946</v>
      </c>
      <c r="M339" s="4">
        <v>0.44</v>
      </c>
      <c r="N339" s="4">
        <v>0.62</v>
      </c>
    </row>
    <row r="340" spans="1:14" x14ac:dyDescent="0.4">
      <c r="A340">
        <v>339</v>
      </c>
      <c r="B340">
        <v>2012</v>
      </c>
      <c r="C340" t="s">
        <v>1080</v>
      </c>
      <c r="D340" t="str">
        <f>HYPERLINK("https://ota.tournamentsoftware.com/player-profile/00B8EFA4-17DF-49B4-90DE-B5A577BC8620", "Link")</f>
        <v>Link</v>
      </c>
      <c r="E340" s="2">
        <v>503.72399999999999</v>
      </c>
      <c r="F340" s="3">
        <v>14</v>
      </c>
      <c r="G340" t="s">
        <v>20</v>
      </c>
      <c r="H340" t="s">
        <v>43</v>
      </c>
      <c r="I340">
        <v>27.6</v>
      </c>
      <c r="J340" s="3">
        <v>258</v>
      </c>
      <c r="K340" t="s">
        <v>1081</v>
      </c>
      <c r="L340" t="s">
        <v>132</v>
      </c>
      <c r="M340" s="4">
        <v>0.48</v>
      </c>
      <c r="N340" s="4">
        <v>0.5</v>
      </c>
    </row>
    <row r="341" spans="1:14" x14ac:dyDescent="0.4">
      <c r="A341">
        <v>340</v>
      </c>
      <c r="B341">
        <v>2014</v>
      </c>
      <c r="C341" t="s">
        <v>1082</v>
      </c>
      <c r="D341" t="str">
        <f>HYPERLINK("https://ota.tournamentsoftware.com/player-profile/B6154A4C-BA94-41F6-A39C-E106D7116C1A", "Link")</f>
        <v>Link</v>
      </c>
      <c r="E341" s="2">
        <v>494.47699999999998</v>
      </c>
      <c r="F341" s="3">
        <v>31</v>
      </c>
      <c r="G341" t="s">
        <v>29</v>
      </c>
      <c r="H341" t="s">
        <v>88</v>
      </c>
      <c r="I341">
        <v>30.4</v>
      </c>
      <c r="J341" s="3">
        <v>219</v>
      </c>
      <c r="K341" t="s">
        <v>1083</v>
      </c>
      <c r="L341" t="s">
        <v>1084</v>
      </c>
      <c r="M341" s="4">
        <v>0.63</v>
      </c>
      <c r="N341" s="4">
        <v>0.71</v>
      </c>
    </row>
    <row r="342" spans="1:14" x14ac:dyDescent="0.4">
      <c r="A342">
        <v>341</v>
      </c>
      <c r="B342">
        <v>2015</v>
      </c>
      <c r="C342" t="s">
        <v>1085</v>
      </c>
      <c r="D342" t="str">
        <f>HYPERLINK("https://ota.tournamentsoftware.com/player-profile/92F0423F-2B57-40B1-A6AA-5C7DC6477800", "Link")</f>
        <v>Link</v>
      </c>
      <c r="E342" s="2">
        <v>493.88900000000001</v>
      </c>
      <c r="F342" s="3">
        <v>16</v>
      </c>
      <c r="G342" t="s">
        <v>29</v>
      </c>
      <c r="H342" t="s">
        <v>471</v>
      </c>
      <c r="I342">
        <v>30.7</v>
      </c>
      <c r="J342" s="3">
        <v>146</v>
      </c>
      <c r="K342" t="s">
        <v>1086</v>
      </c>
      <c r="L342" t="s">
        <v>1087</v>
      </c>
      <c r="M342" s="4">
        <v>0.82</v>
      </c>
      <c r="N342" s="4">
        <v>0.65</v>
      </c>
    </row>
    <row r="343" spans="1:14" x14ac:dyDescent="0.4">
      <c r="A343">
        <v>342</v>
      </c>
      <c r="B343">
        <v>2010</v>
      </c>
      <c r="C343" t="s">
        <v>1088</v>
      </c>
      <c r="D343" t="str">
        <f>HYPERLINK("https://ota.tournamentsoftware.com/player-profile/B585293A-83F8-4A63-8374-96DAD725B08B", "Link")</f>
        <v>Link</v>
      </c>
      <c r="E343" s="2">
        <v>491.964</v>
      </c>
      <c r="F343" s="3">
        <v>12</v>
      </c>
      <c r="G343" t="s">
        <v>109</v>
      </c>
      <c r="H343" t="s">
        <v>110</v>
      </c>
      <c r="I343">
        <v>28.3</v>
      </c>
      <c r="J343" s="3">
        <v>152</v>
      </c>
      <c r="K343" t="s">
        <v>1089</v>
      </c>
      <c r="L343" t="s">
        <v>1090</v>
      </c>
      <c r="M343" s="4">
        <v>0.3</v>
      </c>
      <c r="N343" s="4">
        <v>0.28999999999999998</v>
      </c>
    </row>
    <row r="344" spans="1:14" x14ac:dyDescent="0.4">
      <c r="A344">
        <v>343</v>
      </c>
      <c r="B344">
        <v>2013</v>
      </c>
      <c r="C344" t="s">
        <v>1091</v>
      </c>
      <c r="D344" t="str">
        <f>HYPERLINK("https://ota.tournamentsoftware.com/player-profile/CE1F1BC7-04CB-4652-A947-AF91FA03ECD5", "Link")</f>
        <v>Link</v>
      </c>
      <c r="E344" s="2">
        <v>491.4</v>
      </c>
      <c r="F344" s="3">
        <v>19</v>
      </c>
      <c r="G344" t="s">
        <v>29</v>
      </c>
      <c r="H344" t="s">
        <v>1092</v>
      </c>
      <c r="I344">
        <v>31.6</v>
      </c>
      <c r="J344" s="3">
        <v>114</v>
      </c>
      <c r="K344" t="s">
        <v>1093</v>
      </c>
      <c r="L344" t="s">
        <v>1094</v>
      </c>
      <c r="M344" s="4">
        <v>0.57999999999999996</v>
      </c>
      <c r="N344" s="4">
        <v>0.71</v>
      </c>
    </row>
    <row r="345" spans="1:14" x14ac:dyDescent="0.4">
      <c r="A345">
        <v>344</v>
      </c>
      <c r="B345">
        <v>2010</v>
      </c>
      <c r="C345" t="s">
        <v>1095</v>
      </c>
      <c r="D345" t="str">
        <f>HYPERLINK("https://ota.tournamentsoftware.com/player-profile/8ACC3ED2-2C9A-4B51-944B-0BE325861B46", "Link")</f>
        <v>Link</v>
      </c>
      <c r="E345" s="2">
        <v>488.947</v>
      </c>
      <c r="F345" s="3">
        <v>13</v>
      </c>
      <c r="G345" t="s">
        <v>25</v>
      </c>
      <c r="H345" t="s">
        <v>182</v>
      </c>
      <c r="I345">
        <v>33.200000000000003</v>
      </c>
      <c r="J345" s="3">
        <v>90</v>
      </c>
      <c r="K345" t="s">
        <v>1096</v>
      </c>
      <c r="L345" t="s">
        <v>1097</v>
      </c>
      <c r="M345" s="4">
        <v>0.28999999999999998</v>
      </c>
      <c r="N345" s="4">
        <v>0.36</v>
      </c>
    </row>
    <row r="346" spans="1:14" x14ac:dyDescent="0.4">
      <c r="A346">
        <v>345</v>
      </c>
      <c r="B346">
        <v>2012</v>
      </c>
      <c r="C346" t="s">
        <v>1098</v>
      </c>
      <c r="D346" t="str">
        <f>HYPERLINK("https://ota.tournamentsoftware.com/player-profile/6169AD2A-5AC2-4220-8B87-C5D54BAF6AD4", "Link")</f>
        <v>Link</v>
      </c>
      <c r="E346" s="2">
        <v>485.93400000000003</v>
      </c>
      <c r="F346" s="3">
        <v>20</v>
      </c>
      <c r="G346" t="s">
        <v>109</v>
      </c>
      <c r="H346" t="s">
        <v>281</v>
      </c>
      <c r="I346">
        <v>31.5</v>
      </c>
      <c r="J346" s="3">
        <v>61</v>
      </c>
      <c r="K346" t="s">
        <v>1099</v>
      </c>
      <c r="L346" t="s">
        <v>774</v>
      </c>
      <c r="M346" s="4">
        <v>0.49</v>
      </c>
      <c r="N346" s="4">
        <v>0.49</v>
      </c>
    </row>
    <row r="347" spans="1:14" x14ac:dyDescent="0.4">
      <c r="A347">
        <v>346</v>
      </c>
      <c r="B347">
        <v>2014</v>
      </c>
      <c r="C347" t="s">
        <v>1100</v>
      </c>
      <c r="D347" t="str">
        <f>HYPERLINK("https://ota.tournamentsoftware.com/player-profile/DCA02929-B08F-46CE-9CFE-852A987CEBF8", "Link")</f>
        <v>Link</v>
      </c>
      <c r="E347" s="2">
        <v>485.9</v>
      </c>
      <c r="F347" s="3">
        <v>30</v>
      </c>
      <c r="G347" t="s">
        <v>25</v>
      </c>
      <c r="H347" t="s">
        <v>182</v>
      </c>
      <c r="I347" t="s">
        <v>48</v>
      </c>
      <c r="J347" s="3">
        <v>158</v>
      </c>
      <c r="K347" t="s">
        <v>1101</v>
      </c>
      <c r="L347" t="s">
        <v>1102</v>
      </c>
      <c r="M347" s="4">
        <v>0.47</v>
      </c>
      <c r="N347" s="4">
        <v>0.51</v>
      </c>
    </row>
    <row r="348" spans="1:14" x14ac:dyDescent="0.4">
      <c r="A348">
        <v>347</v>
      </c>
      <c r="B348">
        <v>2015</v>
      </c>
      <c r="C348" t="s">
        <v>1103</v>
      </c>
      <c r="D348" t="str">
        <f>HYPERLINK("https://ota.tournamentsoftware.com/player-profile/D1A88E02-8A26-413B-866E-8A72948B268F", "Link")</f>
        <v>Link</v>
      </c>
      <c r="E348" s="2">
        <v>482.596</v>
      </c>
      <c r="F348" s="3">
        <v>20</v>
      </c>
      <c r="G348" t="s">
        <v>29</v>
      </c>
      <c r="H348" t="s">
        <v>145</v>
      </c>
      <c r="I348">
        <v>30.5</v>
      </c>
      <c r="J348" s="3">
        <v>232</v>
      </c>
      <c r="K348" t="s">
        <v>1104</v>
      </c>
      <c r="L348" t="s">
        <v>396</v>
      </c>
      <c r="M348" s="4">
        <v>0.66</v>
      </c>
      <c r="N348" s="4">
        <v>0.72</v>
      </c>
    </row>
    <row r="349" spans="1:14" x14ac:dyDescent="0.4">
      <c r="A349">
        <v>348</v>
      </c>
      <c r="B349">
        <v>2013</v>
      </c>
      <c r="C349" t="s">
        <v>1105</v>
      </c>
      <c r="D349" t="str">
        <f>HYPERLINK("https://ota.tournamentsoftware.com/player-profile/0BFF8F09-A612-40D9-B491-E305A472672B", "Link")</f>
        <v>Link</v>
      </c>
      <c r="E349" s="2">
        <v>481.947</v>
      </c>
      <c r="F349" s="3">
        <v>15</v>
      </c>
      <c r="G349" t="s">
        <v>29</v>
      </c>
      <c r="H349" t="s">
        <v>471</v>
      </c>
      <c r="I349">
        <v>30</v>
      </c>
      <c r="J349" s="3">
        <v>221</v>
      </c>
      <c r="K349" t="s">
        <v>1106</v>
      </c>
      <c r="L349" t="s">
        <v>1107</v>
      </c>
      <c r="M349" s="4">
        <v>0.61</v>
      </c>
      <c r="N349" s="4">
        <v>0.67</v>
      </c>
    </row>
    <row r="350" spans="1:14" x14ac:dyDescent="0.4">
      <c r="A350">
        <v>349</v>
      </c>
      <c r="B350">
        <v>2010</v>
      </c>
      <c r="C350" t="s">
        <v>1108</v>
      </c>
      <c r="D350" t="str">
        <f>HYPERLINK("https://ota.tournamentsoftware.com/player-profile/1AEE67D0-E4A8-4E90-A0A9-5E04EE899E95", "Link")</f>
        <v>Link</v>
      </c>
      <c r="E350" s="2">
        <v>480.73399999999998</v>
      </c>
      <c r="F350" s="3">
        <v>14</v>
      </c>
      <c r="G350" t="s">
        <v>25</v>
      </c>
      <c r="H350" t="s">
        <v>1109</v>
      </c>
      <c r="I350">
        <v>34.200000000000003</v>
      </c>
      <c r="J350" s="3">
        <v>36</v>
      </c>
      <c r="K350" t="s">
        <v>1110</v>
      </c>
      <c r="L350" t="s">
        <v>1111</v>
      </c>
      <c r="M350" s="4">
        <v>0.19</v>
      </c>
      <c r="N350" s="4">
        <v>0.1</v>
      </c>
    </row>
    <row r="351" spans="1:14" x14ac:dyDescent="0.4">
      <c r="A351">
        <v>350</v>
      </c>
      <c r="B351">
        <v>2014</v>
      </c>
      <c r="C351" t="s">
        <v>1112</v>
      </c>
      <c r="D351" t="str">
        <f>HYPERLINK("https://ota.tournamentsoftware.com/player-profile/B58148E6-4895-4918-B4B6-ADFAA5FEE0D2", "Link")</f>
        <v>Link</v>
      </c>
      <c r="E351" s="2">
        <v>479.10500000000002</v>
      </c>
      <c r="F351" s="3">
        <v>23</v>
      </c>
      <c r="G351" t="s">
        <v>109</v>
      </c>
      <c r="H351" t="s">
        <v>387</v>
      </c>
      <c r="I351">
        <v>29.3</v>
      </c>
      <c r="J351" s="3">
        <v>224</v>
      </c>
      <c r="K351" t="s">
        <v>1113</v>
      </c>
      <c r="L351" t="s">
        <v>1114</v>
      </c>
      <c r="M351" s="4">
        <v>0.5</v>
      </c>
      <c r="N351" s="4">
        <v>0.46</v>
      </c>
    </row>
    <row r="352" spans="1:14" x14ac:dyDescent="0.4">
      <c r="A352">
        <v>351</v>
      </c>
      <c r="B352">
        <v>2012</v>
      </c>
      <c r="C352" t="s">
        <v>1115</v>
      </c>
      <c r="D352" t="str">
        <f>HYPERLINK("https://ota.tournamentsoftware.com/player-profile/695315EE-6360-44B7-9352-E2A867A09DAD", "Link")</f>
        <v>Link</v>
      </c>
      <c r="E352" s="2">
        <v>478.435</v>
      </c>
      <c r="F352" s="3">
        <v>13</v>
      </c>
      <c r="G352" t="s">
        <v>25</v>
      </c>
      <c r="H352" t="s">
        <v>182</v>
      </c>
      <c r="I352">
        <v>29.9</v>
      </c>
      <c r="J352" s="3">
        <v>110</v>
      </c>
      <c r="K352" t="s">
        <v>1116</v>
      </c>
      <c r="L352" t="s">
        <v>23</v>
      </c>
      <c r="M352" s="4">
        <v>0.47</v>
      </c>
      <c r="N352" s="4">
        <v>0.8</v>
      </c>
    </row>
    <row r="353" spans="1:14" x14ac:dyDescent="0.4">
      <c r="A353">
        <v>352</v>
      </c>
      <c r="B353">
        <v>2010</v>
      </c>
      <c r="C353" t="s">
        <v>1117</v>
      </c>
      <c r="D353" t="str">
        <f>HYPERLINK("https://ota.tournamentsoftware.com/player-profile/F1FCE1A8-7976-4735-B8F7-E6E212972722", "Link")</f>
        <v>Link</v>
      </c>
      <c r="E353" s="2">
        <v>473.43</v>
      </c>
      <c r="F353" s="3">
        <v>6</v>
      </c>
      <c r="G353" t="s">
        <v>29</v>
      </c>
      <c r="H353" t="s">
        <v>1118</v>
      </c>
      <c r="I353">
        <v>29.7</v>
      </c>
      <c r="J353" s="3">
        <v>76</v>
      </c>
      <c r="K353" t="s">
        <v>1119</v>
      </c>
      <c r="L353" t="s">
        <v>1120</v>
      </c>
      <c r="M353" s="4">
        <v>0.43</v>
      </c>
      <c r="N353" s="4">
        <v>0.4</v>
      </c>
    </row>
    <row r="354" spans="1:14" x14ac:dyDescent="0.4">
      <c r="A354">
        <v>353</v>
      </c>
      <c r="B354">
        <v>2013</v>
      </c>
      <c r="C354" t="s">
        <v>1121</v>
      </c>
      <c r="D354" t="str">
        <f>HYPERLINK("https://ota.tournamentsoftware.com/player-profile/D79AC720-EA55-42CC-ACCB-558E5C86D00C", "Link")</f>
        <v>Link</v>
      </c>
      <c r="E354" s="2">
        <v>468.72199999999998</v>
      </c>
      <c r="F354" s="3">
        <v>29</v>
      </c>
      <c r="G354" t="s">
        <v>29</v>
      </c>
      <c r="H354" t="s">
        <v>199</v>
      </c>
      <c r="I354">
        <v>32.799999999999997</v>
      </c>
      <c r="J354" s="3">
        <v>143</v>
      </c>
      <c r="K354" t="s">
        <v>1122</v>
      </c>
      <c r="L354" t="s">
        <v>550</v>
      </c>
      <c r="M354" s="4">
        <v>0.51</v>
      </c>
      <c r="N354" s="4">
        <v>0.53</v>
      </c>
    </row>
    <row r="355" spans="1:14" x14ac:dyDescent="0.4">
      <c r="A355">
        <v>354</v>
      </c>
      <c r="B355">
        <v>2012</v>
      </c>
      <c r="C355" t="s">
        <v>1123</v>
      </c>
      <c r="D355" t="str">
        <f>HYPERLINK("https://ota.tournamentsoftware.com/player-profile/E9C7A60A-D097-4925-9456-764C57DCF01A", "Link")</f>
        <v>Link</v>
      </c>
      <c r="E355" s="2">
        <v>468.44799999999998</v>
      </c>
      <c r="F355" s="3">
        <v>2</v>
      </c>
      <c r="G355" t="s">
        <v>20</v>
      </c>
      <c r="H355" t="s">
        <v>1124</v>
      </c>
      <c r="I355">
        <v>24.4</v>
      </c>
      <c r="J355" s="3">
        <v>64</v>
      </c>
      <c r="K355" t="s">
        <v>1125</v>
      </c>
      <c r="L355" t="s">
        <v>1126</v>
      </c>
      <c r="M355" s="4">
        <v>0.61</v>
      </c>
      <c r="N355" s="4">
        <v>1</v>
      </c>
    </row>
    <row r="356" spans="1:14" x14ac:dyDescent="0.4">
      <c r="A356">
        <v>355</v>
      </c>
      <c r="B356">
        <v>2014</v>
      </c>
      <c r="C356" t="s">
        <v>1127</v>
      </c>
      <c r="D356" t="str">
        <f>HYPERLINK("https://ota.tournamentsoftware.com/player-profile/BC2D4F14-515B-4F2A-AD3B-8DA03F3E5E5B", "Link")</f>
        <v>Link</v>
      </c>
      <c r="E356" s="2">
        <v>466.78199999999998</v>
      </c>
      <c r="F356" s="3">
        <v>22</v>
      </c>
      <c r="G356" t="s">
        <v>25</v>
      </c>
      <c r="H356" t="s">
        <v>182</v>
      </c>
      <c r="I356" t="s">
        <v>48</v>
      </c>
      <c r="J356" s="3">
        <v>162</v>
      </c>
      <c r="K356" t="s">
        <v>1128</v>
      </c>
      <c r="L356" t="s">
        <v>143</v>
      </c>
      <c r="M356" s="4">
        <v>0.59</v>
      </c>
      <c r="N356" s="4">
        <v>0.69</v>
      </c>
    </row>
    <row r="357" spans="1:14" x14ac:dyDescent="0.4">
      <c r="A357">
        <v>356</v>
      </c>
      <c r="B357">
        <v>2010</v>
      </c>
      <c r="C357" t="s">
        <v>1129</v>
      </c>
      <c r="D357" t="str">
        <f>HYPERLINK("https://ota.tournamentsoftware.com/player-profile/0AA00F51-DFDD-4EB4-9ACB-39293BFFCD6E", "Link")</f>
        <v>Link</v>
      </c>
      <c r="E357" s="2">
        <v>465.43299999999999</v>
      </c>
      <c r="F357" s="3">
        <v>3</v>
      </c>
      <c r="G357" t="s">
        <v>435</v>
      </c>
      <c r="H357" t="s">
        <v>436</v>
      </c>
      <c r="I357">
        <v>28.4</v>
      </c>
      <c r="J357" s="3">
        <v>175</v>
      </c>
      <c r="K357" t="s">
        <v>1130</v>
      </c>
      <c r="L357" t="s">
        <v>1131</v>
      </c>
      <c r="M357" s="4">
        <v>0.45</v>
      </c>
      <c r="N357" s="4">
        <v>0.45</v>
      </c>
    </row>
    <row r="358" spans="1:14" x14ac:dyDescent="0.4">
      <c r="A358">
        <v>357</v>
      </c>
      <c r="B358">
        <v>2016</v>
      </c>
      <c r="C358" t="s">
        <v>1132</v>
      </c>
      <c r="D358" t="str">
        <f>HYPERLINK("https://ota.tournamentsoftware.com/player-profile/7F9E9DD0-77A1-4F40-B2B5-C4B89592B089", "Link")</f>
        <v>Link</v>
      </c>
      <c r="E358" s="2">
        <v>459.47</v>
      </c>
      <c r="F358" s="3">
        <v>22</v>
      </c>
      <c r="G358" t="s">
        <v>29</v>
      </c>
      <c r="H358" t="s">
        <v>47</v>
      </c>
      <c r="I358">
        <v>32.700000000000003</v>
      </c>
      <c r="J358" s="3">
        <v>181</v>
      </c>
      <c r="K358" t="s">
        <v>1133</v>
      </c>
      <c r="L358" t="s">
        <v>1134</v>
      </c>
      <c r="M358" s="4">
        <v>0.68</v>
      </c>
      <c r="N358" s="4">
        <v>0.64</v>
      </c>
    </row>
    <row r="359" spans="1:14" x14ac:dyDescent="0.4">
      <c r="A359">
        <v>358</v>
      </c>
      <c r="B359">
        <v>2010</v>
      </c>
      <c r="C359" t="s">
        <v>1135</v>
      </c>
      <c r="D359" t="str">
        <f>HYPERLINK("https://ota.tournamentsoftware.com/player-profile/E7BD235D-1C3B-4887-985B-9C76E883050E", "Link")</f>
        <v>Link</v>
      </c>
      <c r="E359" s="2">
        <v>457.34100000000001</v>
      </c>
      <c r="F359" s="3">
        <v>5</v>
      </c>
      <c r="G359" t="s">
        <v>497</v>
      </c>
      <c r="H359" t="s">
        <v>498</v>
      </c>
      <c r="I359">
        <v>31.6</v>
      </c>
      <c r="J359" s="3">
        <v>54</v>
      </c>
      <c r="K359" t="s">
        <v>1136</v>
      </c>
      <c r="L359" t="s">
        <v>341</v>
      </c>
      <c r="M359" s="4">
        <v>0.46</v>
      </c>
      <c r="N359" s="4">
        <v>0.4</v>
      </c>
    </row>
    <row r="360" spans="1:14" x14ac:dyDescent="0.4">
      <c r="A360">
        <v>359</v>
      </c>
      <c r="B360">
        <v>2011</v>
      </c>
      <c r="C360" t="s">
        <v>1137</v>
      </c>
      <c r="D360" t="str">
        <f>HYPERLINK("https://ota.tournamentsoftware.com/player-profile/FA4F0EE9-4458-4149-A46F-C5E237FD450C", "Link")</f>
        <v>Link</v>
      </c>
      <c r="E360" s="2">
        <v>455.31799999999998</v>
      </c>
      <c r="F360" s="3">
        <v>29</v>
      </c>
      <c r="G360" t="s">
        <v>25</v>
      </c>
      <c r="H360" t="s">
        <v>16</v>
      </c>
      <c r="I360">
        <v>35.9</v>
      </c>
      <c r="J360" s="3">
        <v>271</v>
      </c>
      <c r="K360" t="s">
        <v>1138</v>
      </c>
      <c r="L360" t="s">
        <v>1139</v>
      </c>
      <c r="M360" s="4">
        <v>0.22</v>
      </c>
      <c r="N360" s="4">
        <v>0.13</v>
      </c>
    </row>
    <row r="361" spans="1:14" x14ac:dyDescent="0.4">
      <c r="A361">
        <v>360</v>
      </c>
      <c r="B361">
        <v>2010</v>
      </c>
      <c r="C361" t="s">
        <v>1140</v>
      </c>
      <c r="D361" t="str">
        <f>HYPERLINK("https://ota.tournamentsoftware.com/player-profile/BE011B2B-241D-4CAC-9102-20AE45C2B437", "Link")</f>
        <v>Link</v>
      </c>
      <c r="E361" s="2">
        <v>452.72800000000001</v>
      </c>
      <c r="F361" s="3">
        <v>6</v>
      </c>
      <c r="G361" t="s">
        <v>185</v>
      </c>
      <c r="H361" t="s">
        <v>186</v>
      </c>
      <c r="I361">
        <v>29.2</v>
      </c>
      <c r="J361" s="3">
        <v>98</v>
      </c>
      <c r="K361" t="s">
        <v>1141</v>
      </c>
      <c r="L361" t="s">
        <v>610</v>
      </c>
      <c r="M361" s="4">
        <v>0.46</v>
      </c>
      <c r="N361" s="4">
        <v>0.28999999999999998</v>
      </c>
    </row>
    <row r="362" spans="1:14" x14ac:dyDescent="0.4">
      <c r="A362">
        <v>361</v>
      </c>
      <c r="B362">
        <v>2011</v>
      </c>
      <c r="C362" t="s">
        <v>1142</v>
      </c>
      <c r="D362" t="str">
        <f>HYPERLINK("https://ota.tournamentsoftware.com/player-profile/5E568774-4BDB-4B9B-A5D9-95ACD8A03230", "Link")</f>
        <v>Link</v>
      </c>
      <c r="E362" s="2">
        <v>451.608</v>
      </c>
      <c r="F362" s="3">
        <v>8</v>
      </c>
      <c r="G362" t="s">
        <v>185</v>
      </c>
      <c r="H362" t="s">
        <v>186</v>
      </c>
      <c r="I362">
        <v>33.6</v>
      </c>
      <c r="J362" s="3">
        <v>58</v>
      </c>
      <c r="K362" t="s">
        <v>1143</v>
      </c>
      <c r="L362" t="s">
        <v>1144</v>
      </c>
      <c r="M362" s="4">
        <v>0.19</v>
      </c>
      <c r="N362" s="4">
        <v>0</v>
      </c>
    </row>
    <row r="363" spans="1:14" x14ac:dyDescent="0.4">
      <c r="A363">
        <v>362</v>
      </c>
      <c r="B363">
        <v>2010</v>
      </c>
      <c r="C363" t="s">
        <v>1145</v>
      </c>
      <c r="D363" t="str">
        <f>HYPERLINK("https://ota.tournamentsoftware.com/player-profile/AB4FDA53-5C7C-492C-9469-EFE5DCB443AF", "Link")</f>
        <v>Link</v>
      </c>
      <c r="E363" s="2">
        <v>449.791</v>
      </c>
      <c r="F363" s="3">
        <v>9</v>
      </c>
      <c r="G363" t="s">
        <v>25</v>
      </c>
      <c r="H363" t="s">
        <v>26</v>
      </c>
      <c r="I363">
        <v>31.1</v>
      </c>
      <c r="J363" s="3">
        <v>129</v>
      </c>
      <c r="K363" t="s">
        <v>1146</v>
      </c>
      <c r="L363" t="s">
        <v>1147</v>
      </c>
      <c r="M363" s="4">
        <v>0.28999999999999998</v>
      </c>
      <c r="N363" s="4">
        <v>0.36</v>
      </c>
    </row>
    <row r="364" spans="1:14" x14ac:dyDescent="0.4">
      <c r="A364">
        <v>363</v>
      </c>
      <c r="B364">
        <v>2012</v>
      </c>
      <c r="C364" t="s">
        <v>1148</v>
      </c>
      <c r="D364" t="str">
        <f>HYPERLINK("https://ota.tournamentsoftware.com/player-profile/B11C615C-6BB8-4655-BCAA-370D01C186B1", "Link")</f>
        <v>Link</v>
      </c>
      <c r="E364" s="2">
        <v>448</v>
      </c>
      <c r="F364" s="3">
        <v>17</v>
      </c>
      <c r="G364" t="s">
        <v>173</v>
      </c>
      <c r="H364" t="s">
        <v>174</v>
      </c>
      <c r="I364">
        <v>28.1</v>
      </c>
      <c r="J364" s="3">
        <v>169</v>
      </c>
      <c r="K364" t="s">
        <v>1149</v>
      </c>
      <c r="L364" t="s">
        <v>835</v>
      </c>
      <c r="M364" s="4">
        <v>0.51</v>
      </c>
      <c r="N364" s="4">
        <v>0.61</v>
      </c>
    </row>
    <row r="365" spans="1:14" x14ac:dyDescent="0.4">
      <c r="A365">
        <v>364</v>
      </c>
      <c r="B365">
        <v>2013</v>
      </c>
      <c r="C365" t="s">
        <v>1150</v>
      </c>
      <c r="D365" t="str">
        <f>HYPERLINK("https://ota.tournamentsoftware.com/player-profile/71A0B4E7-3A92-4F64-82D6-42A032600DC7", "Link")</f>
        <v>Link</v>
      </c>
      <c r="E365" s="2">
        <v>447.08</v>
      </c>
      <c r="F365" s="3">
        <v>13</v>
      </c>
      <c r="G365" t="s">
        <v>29</v>
      </c>
      <c r="H365" t="s">
        <v>364</v>
      </c>
      <c r="I365">
        <v>31.6</v>
      </c>
      <c r="J365" s="3">
        <v>104</v>
      </c>
      <c r="K365" t="s">
        <v>1151</v>
      </c>
      <c r="L365" t="s">
        <v>1152</v>
      </c>
      <c r="M365" s="4">
        <v>0.51</v>
      </c>
      <c r="N365" s="4">
        <v>0.48</v>
      </c>
    </row>
    <row r="366" spans="1:14" x14ac:dyDescent="0.4">
      <c r="A366">
        <v>365</v>
      </c>
      <c r="B366">
        <v>2013</v>
      </c>
      <c r="C366" t="s">
        <v>1153</v>
      </c>
      <c r="D366" t="str">
        <f>HYPERLINK("https://ota.tournamentsoftware.com/player-profile/D80C965C-4117-4C2C-9F46-F371E9E47454", "Link")</f>
        <v>Link</v>
      </c>
      <c r="E366" s="2">
        <v>447.04199999999997</v>
      </c>
      <c r="F366" s="3">
        <v>27</v>
      </c>
      <c r="G366" t="s">
        <v>29</v>
      </c>
      <c r="H366" t="s">
        <v>1068</v>
      </c>
      <c r="I366" t="s">
        <v>48</v>
      </c>
      <c r="J366" s="3">
        <v>102</v>
      </c>
      <c r="K366" t="s">
        <v>1154</v>
      </c>
      <c r="L366" t="s">
        <v>1155</v>
      </c>
      <c r="M366" s="4">
        <v>0.56999999999999995</v>
      </c>
      <c r="N366" s="4">
        <v>0.56999999999999995</v>
      </c>
    </row>
    <row r="367" spans="1:14" x14ac:dyDescent="0.4">
      <c r="A367">
        <v>366</v>
      </c>
      <c r="B367">
        <v>2015</v>
      </c>
      <c r="C367" t="s">
        <v>1156</v>
      </c>
      <c r="D367" t="str">
        <f>HYPERLINK("https://ota.tournamentsoftware.com/player-profile/10185E41-C6E2-4C6A-9A47-A3AF6C77F2A4", "Link")</f>
        <v>Link</v>
      </c>
      <c r="E367" s="2">
        <v>444.97699999999998</v>
      </c>
      <c r="F367" s="3">
        <v>26</v>
      </c>
      <c r="G367" t="s">
        <v>29</v>
      </c>
      <c r="H367" t="s">
        <v>16</v>
      </c>
      <c r="I367">
        <v>33.299999999999997</v>
      </c>
      <c r="J367" s="3">
        <v>233</v>
      </c>
      <c r="K367" t="s">
        <v>1157</v>
      </c>
      <c r="L367" t="s">
        <v>405</v>
      </c>
      <c r="M367" s="4">
        <v>0.47</v>
      </c>
      <c r="N367" s="4">
        <v>0.54</v>
      </c>
    </row>
    <row r="368" spans="1:14" x14ac:dyDescent="0.4">
      <c r="A368">
        <v>367</v>
      </c>
      <c r="B368">
        <v>2013</v>
      </c>
      <c r="C368" t="s">
        <v>1158</v>
      </c>
      <c r="D368" t="str">
        <f>HYPERLINK("https://ota.tournamentsoftware.com/player-profile/6E1703BA-DB25-4B47-9BB7-314BDDCFDBAC", "Link")</f>
        <v>Link</v>
      </c>
      <c r="E368" s="2">
        <v>444.66500000000002</v>
      </c>
      <c r="F368" s="3">
        <v>24</v>
      </c>
      <c r="G368" t="s">
        <v>25</v>
      </c>
      <c r="H368" t="s">
        <v>182</v>
      </c>
      <c r="I368" t="s">
        <v>48</v>
      </c>
      <c r="J368" s="3">
        <v>241</v>
      </c>
      <c r="K368" t="s">
        <v>1159</v>
      </c>
      <c r="L368" t="s">
        <v>1160</v>
      </c>
      <c r="M368" s="4">
        <v>0.44</v>
      </c>
      <c r="N368" s="4">
        <v>0.38</v>
      </c>
    </row>
    <row r="369" spans="1:14" x14ac:dyDescent="0.4">
      <c r="A369">
        <v>368</v>
      </c>
      <c r="B369">
        <v>2014</v>
      </c>
      <c r="C369" t="s">
        <v>1161</v>
      </c>
      <c r="D369" t="str">
        <f>HYPERLINK("https://ota.tournamentsoftware.com/player-profile/C6A8B859-96DA-46D9-A270-B08DA27DDE5C", "Link")</f>
        <v>Link</v>
      </c>
      <c r="E369" s="2">
        <v>442.89499999999998</v>
      </c>
      <c r="F369" s="3">
        <v>15</v>
      </c>
      <c r="G369" t="s">
        <v>25</v>
      </c>
      <c r="H369" t="s">
        <v>99</v>
      </c>
      <c r="I369">
        <v>31.8</v>
      </c>
      <c r="J369" s="3">
        <v>108</v>
      </c>
      <c r="K369" t="s">
        <v>1162</v>
      </c>
      <c r="L369" t="s">
        <v>1163</v>
      </c>
      <c r="M369" s="4">
        <v>0.6</v>
      </c>
      <c r="N369" s="4">
        <v>0.39</v>
      </c>
    </row>
    <row r="370" spans="1:14" x14ac:dyDescent="0.4">
      <c r="A370">
        <v>369</v>
      </c>
      <c r="B370">
        <v>2012</v>
      </c>
      <c r="C370" t="s">
        <v>1164</v>
      </c>
      <c r="D370" t="str">
        <f>HYPERLINK("https://ota.tournamentsoftware.com/player-profile/4CFC4B61-0F67-4AD7-8CC6-03CC7A224737", "Link")</f>
        <v>Link</v>
      </c>
      <c r="E370" s="2">
        <v>442.47800000000001</v>
      </c>
      <c r="F370" s="3">
        <v>10</v>
      </c>
      <c r="G370" t="s">
        <v>20</v>
      </c>
      <c r="H370" t="s">
        <v>226</v>
      </c>
      <c r="I370">
        <v>26.8</v>
      </c>
      <c r="J370" s="3">
        <v>121</v>
      </c>
      <c r="K370" t="s">
        <v>1165</v>
      </c>
      <c r="L370" t="s">
        <v>1166</v>
      </c>
      <c r="M370" s="4">
        <v>0.74</v>
      </c>
      <c r="N370" s="4">
        <v>0.56000000000000005</v>
      </c>
    </row>
    <row r="371" spans="1:14" x14ac:dyDescent="0.4">
      <c r="A371">
        <v>370</v>
      </c>
      <c r="B371">
        <v>2013</v>
      </c>
      <c r="C371" t="s">
        <v>1167</v>
      </c>
      <c r="D371" t="str">
        <f>HYPERLINK("https://ota.tournamentsoftware.com/player-profile/25D8C643-E3DC-418B-948B-22520C94F8E3", "Link")</f>
        <v>Link</v>
      </c>
      <c r="E371" s="2">
        <v>439.62200000000001</v>
      </c>
      <c r="F371" s="3">
        <v>21</v>
      </c>
      <c r="G371" t="s">
        <v>29</v>
      </c>
      <c r="H371" t="s">
        <v>471</v>
      </c>
      <c r="I371">
        <v>32.4</v>
      </c>
      <c r="J371" s="3">
        <v>139</v>
      </c>
      <c r="K371" t="s">
        <v>1168</v>
      </c>
      <c r="L371" t="s">
        <v>1169</v>
      </c>
      <c r="M371" s="4">
        <v>0.43</v>
      </c>
      <c r="N371" s="4">
        <v>0.57999999999999996</v>
      </c>
    </row>
    <row r="372" spans="1:14" x14ac:dyDescent="0.4">
      <c r="A372">
        <v>371</v>
      </c>
      <c r="B372">
        <v>2014</v>
      </c>
      <c r="C372" t="s">
        <v>1170</v>
      </c>
      <c r="D372" t="str">
        <f>HYPERLINK("https://ota.tournamentsoftware.com/player-profile/1412F0F4-82D3-410D-980E-969EFE386B01", "Link")</f>
        <v>Link</v>
      </c>
      <c r="E372" s="2">
        <v>439.38400000000001</v>
      </c>
      <c r="F372" s="3">
        <v>20</v>
      </c>
      <c r="G372" t="s">
        <v>25</v>
      </c>
      <c r="H372" t="s">
        <v>16</v>
      </c>
      <c r="I372" t="s">
        <v>48</v>
      </c>
      <c r="J372" s="3">
        <v>145</v>
      </c>
      <c r="K372" t="s">
        <v>1171</v>
      </c>
      <c r="L372" t="s">
        <v>598</v>
      </c>
      <c r="M372" s="4">
        <v>0.52</v>
      </c>
      <c r="N372" s="4">
        <v>0.57999999999999996</v>
      </c>
    </row>
    <row r="373" spans="1:14" x14ac:dyDescent="0.4">
      <c r="A373">
        <v>372</v>
      </c>
      <c r="B373">
        <v>2010</v>
      </c>
      <c r="C373" t="s">
        <v>1172</v>
      </c>
      <c r="D373" t="str">
        <f>HYPERLINK("https://ota.tournamentsoftware.com/player-profile/CE76D28C-B178-43B0-9D3E-BE7E127CE52B", "Link")</f>
        <v>Link</v>
      </c>
      <c r="E373" s="2">
        <v>438.30799999999999</v>
      </c>
      <c r="F373" s="3">
        <v>6</v>
      </c>
      <c r="G373" t="s">
        <v>29</v>
      </c>
      <c r="H373" t="s">
        <v>528</v>
      </c>
      <c r="I373">
        <v>32.5</v>
      </c>
      <c r="J373" s="3">
        <v>92</v>
      </c>
      <c r="K373" t="s">
        <v>1173</v>
      </c>
      <c r="L373" t="s">
        <v>1174</v>
      </c>
      <c r="M373" s="4">
        <v>0.4</v>
      </c>
      <c r="N373" s="4">
        <v>0.56000000000000005</v>
      </c>
    </row>
    <row r="374" spans="1:14" x14ac:dyDescent="0.4">
      <c r="A374">
        <v>373</v>
      </c>
      <c r="B374">
        <v>2013</v>
      </c>
      <c r="C374" t="s">
        <v>1175</v>
      </c>
      <c r="D374" t="str">
        <f>HYPERLINK("https://ota.tournamentsoftware.com/player-profile/083F5EEA-6E2D-488B-B778-27E4248C2F0D", "Link")</f>
        <v>Link</v>
      </c>
      <c r="E374" s="2">
        <v>436.66199999999998</v>
      </c>
      <c r="F374" s="3">
        <v>24</v>
      </c>
      <c r="G374" t="s">
        <v>29</v>
      </c>
      <c r="H374" t="s">
        <v>88</v>
      </c>
      <c r="I374">
        <v>31.6</v>
      </c>
      <c r="J374" s="3">
        <v>85</v>
      </c>
      <c r="K374" t="s">
        <v>1176</v>
      </c>
      <c r="L374" t="s">
        <v>1177</v>
      </c>
      <c r="M374" s="4">
        <v>0.62</v>
      </c>
      <c r="N374" s="4">
        <v>0.54</v>
      </c>
    </row>
    <row r="375" spans="1:14" x14ac:dyDescent="0.4">
      <c r="A375">
        <v>374</v>
      </c>
      <c r="B375">
        <v>2015</v>
      </c>
      <c r="C375" t="s">
        <v>1178</v>
      </c>
      <c r="D375" t="str">
        <f>HYPERLINK("https://ota.tournamentsoftware.com/player-profile/E7D1FBAC-8033-480E-A688-28CBCEF6D907", "Link")</f>
        <v>Link</v>
      </c>
      <c r="E375" s="2">
        <v>436.50599999999997</v>
      </c>
      <c r="F375" s="3">
        <v>29</v>
      </c>
      <c r="G375" t="s">
        <v>29</v>
      </c>
      <c r="H375" t="s">
        <v>16</v>
      </c>
      <c r="I375">
        <v>32.6</v>
      </c>
      <c r="J375" s="3">
        <v>200</v>
      </c>
      <c r="K375" t="s">
        <v>917</v>
      </c>
      <c r="L375" t="s">
        <v>1179</v>
      </c>
      <c r="M375" s="4">
        <v>0.64</v>
      </c>
      <c r="N375" s="4">
        <v>0.63</v>
      </c>
    </row>
    <row r="376" spans="1:14" x14ac:dyDescent="0.4">
      <c r="A376">
        <v>375</v>
      </c>
      <c r="B376">
        <v>2010</v>
      </c>
      <c r="C376" t="s">
        <v>1180</v>
      </c>
      <c r="D376" t="str">
        <f>HYPERLINK("https://ota.tournamentsoftware.com/player-profile/0FCAE8EF-B92A-4AFB-A1F9-EA58AB562EE0", "Link")</f>
        <v>Link</v>
      </c>
      <c r="E376" s="2">
        <v>435.68700000000001</v>
      </c>
      <c r="F376" s="3">
        <v>8</v>
      </c>
      <c r="G376" t="s">
        <v>20</v>
      </c>
      <c r="H376" t="s">
        <v>16</v>
      </c>
      <c r="I376">
        <v>23.5</v>
      </c>
      <c r="J376" s="3">
        <v>210</v>
      </c>
      <c r="K376" t="s">
        <v>1181</v>
      </c>
      <c r="L376" t="s">
        <v>1020</v>
      </c>
      <c r="M376" s="4">
        <v>0.55000000000000004</v>
      </c>
      <c r="N376" s="4">
        <v>0.18</v>
      </c>
    </row>
    <row r="377" spans="1:14" x14ac:dyDescent="0.4">
      <c r="A377">
        <v>376</v>
      </c>
      <c r="B377">
        <v>2013</v>
      </c>
      <c r="C377" t="s">
        <v>1182</v>
      </c>
      <c r="D377" t="str">
        <f>HYPERLINK("https://ota.tournamentsoftware.com/player-profile/55A370D6-4FAD-414D-9E3D-2889C644855A", "Link")</f>
        <v>Link</v>
      </c>
      <c r="E377" s="2">
        <v>429.24400000000003</v>
      </c>
      <c r="F377" s="3">
        <v>21</v>
      </c>
      <c r="G377" t="s">
        <v>25</v>
      </c>
      <c r="H377" t="s">
        <v>545</v>
      </c>
      <c r="I377">
        <v>32.1</v>
      </c>
      <c r="J377" s="3">
        <v>110</v>
      </c>
      <c r="K377" t="s">
        <v>1183</v>
      </c>
      <c r="L377" t="s">
        <v>1184</v>
      </c>
      <c r="M377" s="4">
        <v>0.45</v>
      </c>
      <c r="N377" s="4">
        <v>0.41</v>
      </c>
    </row>
    <row r="378" spans="1:14" x14ac:dyDescent="0.4">
      <c r="A378">
        <v>377</v>
      </c>
      <c r="B378">
        <v>2012</v>
      </c>
      <c r="C378" t="s">
        <v>1185</v>
      </c>
      <c r="D378" t="str">
        <f>HYPERLINK("https://ota.tournamentsoftware.com/player-profile/07B17DA5-DD47-4C90-B575-478C58AD7465", "Link")</f>
        <v>Link</v>
      </c>
      <c r="E378" s="2">
        <v>426.41300000000001</v>
      </c>
      <c r="F378" s="3">
        <v>22</v>
      </c>
      <c r="G378" t="s">
        <v>20</v>
      </c>
      <c r="H378" t="s">
        <v>21</v>
      </c>
      <c r="I378">
        <v>29.7</v>
      </c>
      <c r="J378" s="3">
        <v>207</v>
      </c>
      <c r="K378" t="s">
        <v>1186</v>
      </c>
      <c r="L378" t="s">
        <v>631</v>
      </c>
      <c r="M378" s="4">
        <v>0.51</v>
      </c>
      <c r="N378" s="4">
        <v>0.45</v>
      </c>
    </row>
    <row r="379" spans="1:14" x14ac:dyDescent="0.4">
      <c r="A379">
        <v>378</v>
      </c>
      <c r="B379">
        <v>2011</v>
      </c>
      <c r="C379" t="s">
        <v>1187</v>
      </c>
      <c r="D379" t="str">
        <f>HYPERLINK("https://ota.tournamentsoftware.com/player-profile/1273DADE-85E6-4F0A-ADE3-189CA9974553", "Link")</f>
        <v>Link</v>
      </c>
      <c r="E379" s="2">
        <v>425.20600000000002</v>
      </c>
      <c r="F379" s="3">
        <v>5</v>
      </c>
      <c r="G379" t="s">
        <v>25</v>
      </c>
      <c r="H379" t="s">
        <v>26</v>
      </c>
      <c r="I379">
        <v>33.200000000000003</v>
      </c>
      <c r="J379" s="3">
        <v>92</v>
      </c>
      <c r="K379" t="s">
        <v>1188</v>
      </c>
      <c r="L379" t="s">
        <v>1189</v>
      </c>
      <c r="M379" s="4">
        <v>0.36</v>
      </c>
      <c r="N379" s="4">
        <v>0.17</v>
      </c>
    </row>
    <row r="380" spans="1:14" x14ac:dyDescent="0.4">
      <c r="A380">
        <v>379</v>
      </c>
      <c r="B380">
        <v>2014</v>
      </c>
      <c r="C380" t="s">
        <v>1190</v>
      </c>
      <c r="D380" t="str">
        <f>HYPERLINK("https://ota.tournamentsoftware.com/player-profile/4A74B151-256A-40ED-9F9D-F00036EDD0A5", "Link")</f>
        <v>Link</v>
      </c>
      <c r="E380" s="2">
        <v>419.14100000000002</v>
      </c>
      <c r="F380" s="3">
        <v>25</v>
      </c>
      <c r="G380" t="s">
        <v>29</v>
      </c>
      <c r="H380" t="s">
        <v>16</v>
      </c>
      <c r="I380" t="s">
        <v>48</v>
      </c>
      <c r="J380" s="3">
        <v>131</v>
      </c>
      <c r="K380" t="s">
        <v>1191</v>
      </c>
      <c r="L380" t="s">
        <v>359</v>
      </c>
      <c r="M380" s="4">
        <v>0.47</v>
      </c>
      <c r="N380" s="4">
        <v>0.5</v>
      </c>
    </row>
    <row r="381" spans="1:14" x14ac:dyDescent="0.4">
      <c r="A381">
        <v>380</v>
      </c>
      <c r="B381">
        <v>2014</v>
      </c>
      <c r="C381" t="s">
        <v>1192</v>
      </c>
      <c r="D381" t="str">
        <f>HYPERLINK("https://ota.tournamentsoftware.com/player-profile/5C58F1EE-F291-431D-AC00-FB9096274E0A", "Link")</f>
        <v>Link</v>
      </c>
      <c r="E381" s="2">
        <v>413.78500000000003</v>
      </c>
      <c r="F381" s="3">
        <v>13</v>
      </c>
      <c r="G381" t="s">
        <v>435</v>
      </c>
      <c r="H381" t="s">
        <v>1193</v>
      </c>
      <c r="I381">
        <v>32.9</v>
      </c>
      <c r="J381" s="3">
        <v>174</v>
      </c>
      <c r="K381" t="s">
        <v>1194</v>
      </c>
      <c r="L381" t="s">
        <v>1195</v>
      </c>
      <c r="M381" s="4">
        <v>0.36</v>
      </c>
      <c r="N381" s="4">
        <v>0.52</v>
      </c>
    </row>
    <row r="382" spans="1:14" x14ac:dyDescent="0.4">
      <c r="A382">
        <v>381</v>
      </c>
      <c r="B382">
        <v>2013</v>
      </c>
      <c r="C382" t="s">
        <v>1196</v>
      </c>
      <c r="D382" t="str">
        <f>HYPERLINK("https://ota.tournamentsoftware.com/player-profile/1A3F3EE8-FB93-483C-A52C-E761E6FA42CE", "Link")</f>
        <v>Link</v>
      </c>
      <c r="E382" s="2">
        <v>413.39499999999998</v>
      </c>
      <c r="F382" s="3">
        <v>8</v>
      </c>
      <c r="G382" t="s">
        <v>109</v>
      </c>
      <c r="H382" t="s">
        <v>387</v>
      </c>
      <c r="I382">
        <v>26.2</v>
      </c>
      <c r="J382" s="3">
        <v>194</v>
      </c>
      <c r="K382" t="s">
        <v>1197</v>
      </c>
      <c r="L382" t="s">
        <v>677</v>
      </c>
      <c r="M382" s="4">
        <v>0.64</v>
      </c>
      <c r="N382" s="4">
        <v>0.56999999999999995</v>
      </c>
    </row>
    <row r="383" spans="1:14" x14ac:dyDescent="0.4">
      <c r="A383">
        <v>382</v>
      </c>
      <c r="B383">
        <v>2011</v>
      </c>
      <c r="C383" t="s">
        <v>1198</v>
      </c>
      <c r="D383" t="str">
        <f>HYPERLINK("https://ota.tournamentsoftware.com/player-profile/A4FDC071-8038-4D9D-9B63-C0A60DE9AB12", "Link")</f>
        <v>Link</v>
      </c>
      <c r="E383" s="2">
        <v>408.14499999999998</v>
      </c>
      <c r="F383" s="3">
        <v>9</v>
      </c>
      <c r="G383" t="s">
        <v>109</v>
      </c>
      <c r="H383" t="s">
        <v>110</v>
      </c>
      <c r="I383" t="s">
        <v>48</v>
      </c>
      <c r="J383" s="3">
        <v>151</v>
      </c>
      <c r="K383" t="s">
        <v>1199</v>
      </c>
      <c r="L383" t="s">
        <v>1200</v>
      </c>
      <c r="M383" s="4">
        <v>0.36</v>
      </c>
      <c r="N383" s="4">
        <v>0.43</v>
      </c>
    </row>
    <row r="384" spans="1:14" x14ac:dyDescent="0.4">
      <c r="A384">
        <v>383</v>
      </c>
      <c r="B384">
        <v>2013</v>
      </c>
      <c r="C384" t="s">
        <v>1201</v>
      </c>
      <c r="D384" t="str">
        <f>HYPERLINK("https://ota.tournamentsoftware.com/player-profile/3DBC0BDE-C3D6-40A5-992E-F7274098EF5D", "Link")</f>
        <v>Link</v>
      </c>
      <c r="E384" s="2">
        <v>405.44600000000003</v>
      </c>
      <c r="F384" s="3">
        <v>18</v>
      </c>
      <c r="G384" t="s">
        <v>109</v>
      </c>
      <c r="H384" t="s">
        <v>387</v>
      </c>
      <c r="I384">
        <v>29.5</v>
      </c>
      <c r="J384" s="3">
        <v>173</v>
      </c>
      <c r="K384" t="s">
        <v>1202</v>
      </c>
      <c r="L384" t="s">
        <v>1203</v>
      </c>
      <c r="M384" s="4">
        <v>0.49</v>
      </c>
      <c r="N384" s="4">
        <v>0.53</v>
      </c>
    </row>
    <row r="385" spans="1:14" x14ac:dyDescent="0.4">
      <c r="A385">
        <v>384</v>
      </c>
      <c r="B385">
        <v>2014</v>
      </c>
      <c r="C385" t="s">
        <v>1204</v>
      </c>
      <c r="D385" t="str">
        <f>HYPERLINK("https://ota.tournamentsoftware.com/player-profile/42A43C76-E08F-4134-B876-2E9D05859D92", "Link")</f>
        <v>Link</v>
      </c>
      <c r="E385" s="2">
        <v>401.72500000000002</v>
      </c>
      <c r="F385" s="3">
        <v>25</v>
      </c>
      <c r="G385" t="s">
        <v>29</v>
      </c>
      <c r="H385" t="s">
        <v>103</v>
      </c>
      <c r="I385">
        <v>31.7</v>
      </c>
      <c r="J385" s="3">
        <v>180</v>
      </c>
      <c r="K385" t="s">
        <v>1205</v>
      </c>
      <c r="L385" t="s">
        <v>1061</v>
      </c>
      <c r="M385" s="4">
        <v>0.56000000000000005</v>
      </c>
      <c r="N385" s="4">
        <v>0.57999999999999996</v>
      </c>
    </row>
    <row r="386" spans="1:14" x14ac:dyDescent="0.4">
      <c r="A386">
        <v>385</v>
      </c>
      <c r="B386">
        <v>2010</v>
      </c>
      <c r="C386" t="s">
        <v>1206</v>
      </c>
      <c r="D386" t="str">
        <f>HYPERLINK("https://ota.tournamentsoftware.com/player-profile/9E544F05-D39B-4151-8B37-6399469F1E13", "Link")</f>
        <v>Link</v>
      </c>
      <c r="E386" s="2">
        <v>400</v>
      </c>
      <c r="F386" s="3">
        <v>2</v>
      </c>
      <c r="G386" t="s">
        <v>29</v>
      </c>
      <c r="H386" t="s">
        <v>16</v>
      </c>
      <c r="I386">
        <v>17.7</v>
      </c>
      <c r="J386" s="3">
        <v>66</v>
      </c>
      <c r="K386" t="s">
        <v>208</v>
      </c>
      <c r="L386" t="s">
        <v>31</v>
      </c>
      <c r="M386" s="4">
        <v>0.67</v>
      </c>
      <c r="N386" s="4">
        <v>0</v>
      </c>
    </row>
    <row r="387" spans="1:14" x14ac:dyDescent="0.4">
      <c r="A387">
        <v>385</v>
      </c>
      <c r="B387">
        <v>2011</v>
      </c>
      <c r="C387" t="s">
        <v>1207</v>
      </c>
      <c r="D387" t="str">
        <f>HYPERLINK("https://ota.tournamentsoftware.com/player-profile/00918D89-066D-4FFC-8BA5-5EC3F5CF83A0", "Link")</f>
        <v>Link</v>
      </c>
      <c r="E387" s="2">
        <v>400</v>
      </c>
      <c r="F387" s="3">
        <v>2</v>
      </c>
      <c r="I387">
        <v>25.6</v>
      </c>
      <c r="J387" s="3">
        <v>199</v>
      </c>
      <c r="K387" t="s">
        <v>1208</v>
      </c>
      <c r="L387" t="s">
        <v>31</v>
      </c>
      <c r="M387" s="4">
        <v>0.41</v>
      </c>
      <c r="N387" s="4">
        <v>0</v>
      </c>
    </row>
    <row r="388" spans="1:14" x14ac:dyDescent="0.4">
      <c r="A388">
        <v>387</v>
      </c>
      <c r="B388">
        <v>2013</v>
      </c>
      <c r="C388" t="s">
        <v>1209</v>
      </c>
      <c r="D388" t="str">
        <f>HYPERLINK("https://ota.tournamentsoftware.com/player-profile/C70279D5-586C-4A9D-94CC-EB9551085FF4", "Link")</f>
        <v>Link</v>
      </c>
      <c r="E388" s="2">
        <v>398.85399999999998</v>
      </c>
      <c r="F388" s="3">
        <v>19</v>
      </c>
      <c r="G388" t="s">
        <v>29</v>
      </c>
      <c r="H388" t="s">
        <v>163</v>
      </c>
      <c r="I388">
        <v>32.799999999999997</v>
      </c>
      <c r="J388" s="3">
        <v>100</v>
      </c>
      <c r="K388" t="s">
        <v>1210</v>
      </c>
      <c r="L388" t="s">
        <v>1211</v>
      </c>
      <c r="M388" s="4">
        <v>0.39</v>
      </c>
      <c r="N388" s="4">
        <v>0.43</v>
      </c>
    </row>
    <row r="389" spans="1:14" x14ac:dyDescent="0.4">
      <c r="A389">
        <v>388</v>
      </c>
      <c r="B389">
        <v>2012</v>
      </c>
      <c r="C389" t="s">
        <v>1212</v>
      </c>
      <c r="D389" t="str">
        <f>HYPERLINK("https://ota.tournamentsoftware.com/player-profile/6649B15F-628D-4ED7-81D6-AEB9036DF19A", "Link")</f>
        <v>Link</v>
      </c>
      <c r="E389" s="2">
        <v>396.08800000000002</v>
      </c>
      <c r="F389" s="3">
        <v>24</v>
      </c>
      <c r="G389" t="s">
        <v>25</v>
      </c>
      <c r="H389" t="s">
        <v>26</v>
      </c>
      <c r="I389">
        <v>32.6</v>
      </c>
      <c r="J389" s="3">
        <v>103</v>
      </c>
      <c r="K389" t="s">
        <v>1213</v>
      </c>
      <c r="L389" t="s">
        <v>1214</v>
      </c>
      <c r="M389" s="4">
        <v>0.5</v>
      </c>
      <c r="N389" s="4">
        <v>0.63</v>
      </c>
    </row>
    <row r="390" spans="1:14" x14ac:dyDescent="0.4">
      <c r="A390">
        <v>389</v>
      </c>
      <c r="B390">
        <v>2013</v>
      </c>
      <c r="C390" t="s">
        <v>1215</v>
      </c>
      <c r="D390" t="str">
        <f>HYPERLINK("https://ota.tournamentsoftware.com/player-profile/2B987274-8A56-4EE6-B85D-948871231CC0", "Link")</f>
        <v>Link</v>
      </c>
      <c r="E390" s="2">
        <v>394.84399999999999</v>
      </c>
      <c r="F390" s="3">
        <v>34</v>
      </c>
      <c r="G390" t="s">
        <v>25</v>
      </c>
      <c r="H390" t="s">
        <v>840</v>
      </c>
      <c r="I390">
        <v>33</v>
      </c>
      <c r="J390" s="3">
        <v>132</v>
      </c>
      <c r="K390" t="s">
        <v>1216</v>
      </c>
      <c r="L390" t="s">
        <v>1217</v>
      </c>
      <c r="M390" s="4">
        <v>0.3</v>
      </c>
      <c r="N390" s="4">
        <v>0.34</v>
      </c>
    </row>
    <row r="391" spans="1:14" x14ac:dyDescent="0.4">
      <c r="A391">
        <v>390</v>
      </c>
      <c r="B391">
        <v>2010</v>
      </c>
      <c r="C391" t="s">
        <v>1218</v>
      </c>
      <c r="D391" t="str">
        <f>HYPERLINK("https://ota.tournamentsoftware.com/player-profile/B4325882-0036-44ED-8827-FE8C6BEBC10C", "Link")</f>
        <v>Link</v>
      </c>
      <c r="E391" s="2">
        <v>394.8</v>
      </c>
      <c r="F391" s="3">
        <v>11</v>
      </c>
      <c r="G391" t="s">
        <v>29</v>
      </c>
      <c r="H391" t="s">
        <v>1219</v>
      </c>
      <c r="I391">
        <v>32</v>
      </c>
      <c r="J391" s="3">
        <v>32</v>
      </c>
      <c r="K391" t="s">
        <v>1220</v>
      </c>
      <c r="L391" t="s">
        <v>1131</v>
      </c>
      <c r="M391" s="4">
        <v>0.38</v>
      </c>
      <c r="N391" s="4">
        <v>0.45</v>
      </c>
    </row>
    <row r="392" spans="1:14" x14ac:dyDescent="0.4">
      <c r="A392">
        <v>391</v>
      </c>
      <c r="B392">
        <v>2015</v>
      </c>
      <c r="C392" t="s">
        <v>1221</v>
      </c>
      <c r="D392" t="str">
        <f>HYPERLINK("https://ota.tournamentsoftware.com/player-profile/71A1C940-3E73-49DA-929B-3B90328FC4BC", "Link")</f>
        <v>Link</v>
      </c>
      <c r="E392" s="2">
        <v>392.13799999999998</v>
      </c>
      <c r="F392" s="3">
        <v>8</v>
      </c>
      <c r="G392" t="s">
        <v>25</v>
      </c>
      <c r="H392" t="s">
        <v>431</v>
      </c>
      <c r="I392">
        <v>30.4</v>
      </c>
      <c r="J392" s="3">
        <v>109</v>
      </c>
      <c r="K392" t="s">
        <v>1222</v>
      </c>
      <c r="L392" t="s">
        <v>1223</v>
      </c>
      <c r="M392" s="4">
        <v>0.65</v>
      </c>
      <c r="N392" s="4">
        <v>0.5</v>
      </c>
    </row>
    <row r="393" spans="1:14" x14ac:dyDescent="0.4">
      <c r="A393">
        <v>392</v>
      </c>
      <c r="B393">
        <v>2013</v>
      </c>
      <c r="C393" t="s">
        <v>1224</v>
      </c>
      <c r="D393" t="str">
        <f>HYPERLINK("https://ota.tournamentsoftware.com/player-profile/35A6230C-9F9D-4861-B1DB-6367FB38A039", "Link")</f>
        <v>Link</v>
      </c>
      <c r="E393" s="2">
        <v>389.81400000000002</v>
      </c>
      <c r="F393" s="3">
        <v>15</v>
      </c>
      <c r="G393" t="s">
        <v>29</v>
      </c>
      <c r="H393" t="s">
        <v>103</v>
      </c>
      <c r="I393">
        <v>34.200000000000003</v>
      </c>
      <c r="J393" s="3">
        <v>56</v>
      </c>
      <c r="K393" t="s">
        <v>1225</v>
      </c>
      <c r="L393" t="s">
        <v>1226</v>
      </c>
      <c r="M393" s="4">
        <v>0.34</v>
      </c>
      <c r="N393" s="4">
        <v>0.42</v>
      </c>
    </row>
    <row r="394" spans="1:14" x14ac:dyDescent="0.4">
      <c r="A394">
        <v>393</v>
      </c>
      <c r="B394">
        <v>2013</v>
      </c>
      <c r="C394" t="s">
        <v>1227</v>
      </c>
      <c r="D394" t="str">
        <f>HYPERLINK("https://ota.tournamentsoftware.com/player-profile/6616439A-F3CD-4D57-876F-DCE4AC4B88C9", "Link")</f>
        <v>Link</v>
      </c>
      <c r="E394" s="2">
        <v>389.71699999999998</v>
      </c>
      <c r="F394" s="3">
        <v>28</v>
      </c>
      <c r="G394" t="s">
        <v>25</v>
      </c>
      <c r="H394" t="s">
        <v>840</v>
      </c>
      <c r="I394" t="s">
        <v>48</v>
      </c>
      <c r="J394" s="3">
        <v>145</v>
      </c>
      <c r="K394" t="s">
        <v>1228</v>
      </c>
      <c r="L394" t="s">
        <v>1229</v>
      </c>
      <c r="M394" s="4">
        <v>0.32</v>
      </c>
      <c r="N394" s="4">
        <v>0.37</v>
      </c>
    </row>
    <row r="395" spans="1:14" x14ac:dyDescent="0.4">
      <c r="A395">
        <v>394</v>
      </c>
      <c r="B395">
        <v>2014</v>
      </c>
      <c r="C395" t="s">
        <v>1230</v>
      </c>
      <c r="D395" t="str">
        <f>HYPERLINK("https://ota.tournamentsoftware.com/player-profile/B46D6374-4A68-4FB0-8516-4056AFA1047A", "Link")</f>
        <v>Link</v>
      </c>
      <c r="E395" s="2">
        <v>389.28500000000003</v>
      </c>
      <c r="F395" s="3">
        <v>17</v>
      </c>
      <c r="G395" t="s">
        <v>25</v>
      </c>
      <c r="H395" t="s">
        <v>26</v>
      </c>
      <c r="I395">
        <v>30.9</v>
      </c>
      <c r="J395" s="3">
        <v>149</v>
      </c>
      <c r="K395" t="s">
        <v>1231</v>
      </c>
      <c r="L395" t="s">
        <v>1232</v>
      </c>
      <c r="M395" s="4">
        <v>0.53</v>
      </c>
      <c r="N395" s="4">
        <v>0.6</v>
      </c>
    </row>
    <row r="396" spans="1:14" x14ac:dyDescent="0.4">
      <c r="A396">
        <v>395</v>
      </c>
      <c r="B396">
        <v>2014</v>
      </c>
      <c r="C396" t="s">
        <v>1233</v>
      </c>
      <c r="D396" t="str">
        <f>HYPERLINK("https://ota.tournamentsoftware.com/player-profile/8A1E61A8-3535-4F88-8C90-68A511D75AC2", "Link")</f>
        <v>Link</v>
      </c>
      <c r="E396" s="2">
        <v>388.8</v>
      </c>
      <c r="F396" s="3">
        <v>17</v>
      </c>
      <c r="G396" t="s">
        <v>29</v>
      </c>
      <c r="H396" t="s">
        <v>145</v>
      </c>
      <c r="I396">
        <v>30.5</v>
      </c>
      <c r="J396" s="3">
        <v>99</v>
      </c>
      <c r="K396" t="s">
        <v>1234</v>
      </c>
      <c r="L396" t="s">
        <v>1235</v>
      </c>
      <c r="M396" s="4">
        <v>0.62</v>
      </c>
      <c r="N396" s="4">
        <v>0.67</v>
      </c>
    </row>
    <row r="397" spans="1:14" x14ac:dyDescent="0.4">
      <c r="A397">
        <v>396</v>
      </c>
      <c r="B397">
        <v>2014</v>
      </c>
      <c r="C397" t="s">
        <v>1236</v>
      </c>
      <c r="D397" t="str">
        <f>HYPERLINK("https://ota.tournamentsoftware.com/player-profile/BAF4D69B-39E5-4A7E-BB04-5AF0EDC7734B", "Link")</f>
        <v>Link</v>
      </c>
      <c r="E397" s="2">
        <v>388.45299999999997</v>
      </c>
      <c r="F397" s="3">
        <v>25</v>
      </c>
      <c r="G397" t="s">
        <v>29</v>
      </c>
      <c r="H397" t="s">
        <v>163</v>
      </c>
      <c r="I397">
        <v>32.9</v>
      </c>
      <c r="J397" s="3">
        <v>205</v>
      </c>
      <c r="K397" t="s">
        <v>1237</v>
      </c>
      <c r="L397" t="s">
        <v>221</v>
      </c>
      <c r="M397" s="4">
        <v>0.49</v>
      </c>
      <c r="N397" s="4">
        <v>0.51</v>
      </c>
    </row>
    <row r="398" spans="1:14" x14ac:dyDescent="0.4">
      <c r="A398">
        <v>397</v>
      </c>
      <c r="B398">
        <v>2012</v>
      </c>
      <c r="C398" t="s">
        <v>1238</v>
      </c>
      <c r="D398" t="str">
        <f>HYPERLINK("https://ota.tournamentsoftware.com/player-profile/B34E6AA6-2962-4DB5-93DB-BCA4DBF97316", "Link")</f>
        <v>Link</v>
      </c>
      <c r="E398" s="2">
        <v>386.86500000000001</v>
      </c>
      <c r="F398" s="3">
        <v>7</v>
      </c>
      <c r="G398" t="s">
        <v>25</v>
      </c>
      <c r="H398" t="s">
        <v>311</v>
      </c>
      <c r="I398">
        <v>29.9</v>
      </c>
      <c r="J398" s="3">
        <v>184</v>
      </c>
      <c r="K398" t="s">
        <v>1239</v>
      </c>
      <c r="L398" t="s">
        <v>1240</v>
      </c>
      <c r="M398" s="4">
        <v>0.52</v>
      </c>
      <c r="N398" s="4">
        <v>0.5</v>
      </c>
    </row>
    <row r="399" spans="1:14" x14ac:dyDescent="0.4">
      <c r="A399">
        <v>398</v>
      </c>
      <c r="B399">
        <v>2013</v>
      </c>
      <c r="C399" t="s">
        <v>1241</v>
      </c>
      <c r="D399" t="str">
        <f>HYPERLINK("https://ota.tournamentsoftware.com/player-profile/A556E1FC-8159-42C1-A5DB-35375535B6F4", "Link")</f>
        <v>Link</v>
      </c>
      <c r="E399" s="2">
        <v>386.41500000000002</v>
      </c>
      <c r="F399" s="3">
        <v>3</v>
      </c>
      <c r="G399" t="s">
        <v>29</v>
      </c>
      <c r="H399" t="s">
        <v>16</v>
      </c>
      <c r="I399" t="s">
        <v>48</v>
      </c>
      <c r="J399" s="3">
        <v>137</v>
      </c>
      <c r="K399" t="s">
        <v>1242</v>
      </c>
      <c r="L399" t="s">
        <v>1243</v>
      </c>
      <c r="M399" s="4">
        <v>0.72</v>
      </c>
      <c r="N399" s="4">
        <v>0.4</v>
      </c>
    </row>
    <row r="400" spans="1:14" x14ac:dyDescent="0.4">
      <c r="A400">
        <v>399</v>
      </c>
      <c r="B400">
        <v>2012</v>
      </c>
      <c r="C400" t="s">
        <v>1244</v>
      </c>
      <c r="D400" t="str">
        <f>HYPERLINK("https://ota.tournamentsoftware.com/player-profile/E6DED1E8-57C3-4627-8D59-94A636610A6B", "Link")</f>
        <v>Link</v>
      </c>
      <c r="E400" s="2">
        <v>386.04</v>
      </c>
      <c r="F400" s="3">
        <v>24</v>
      </c>
      <c r="G400" t="s">
        <v>29</v>
      </c>
      <c r="H400" t="s">
        <v>686</v>
      </c>
      <c r="I400">
        <v>31.4</v>
      </c>
      <c r="J400" s="3">
        <v>73</v>
      </c>
      <c r="K400" t="s">
        <v>1245</v>
      </c>
      <c r="L400" t="s">
        <v>1246</v>
      </c>
      <c r="M400" s="4">
        <v>0.45</v>
      </c>
      <c r="N400" s="4">
        <v>0.56000000000000005</v>
      </c>
    </row>
    <row r="401" spans="1:14" x14ac:dyDescent="0.4">
      <c r="A401">
        <v>400</v>
      </c>
      <c r="B401">
        <v>2014</v>
      </c>
      <c r="C401" t="s">
        <v>1247</v>
      </c>
      <c r="D401" t="str">
        <f>HYPERLINK("https://ota.tournamentsoftware.com/player-profile/48592A27-18BE-4C04-BE24-73F536B6D5D5", "Link")</f>
        <v>Link</v>
      </c>
      <c r="E401" s="2">
        <v>382.62400000000002</v>
      </c>
      <c r="F401" s="3">
        <v>19</v>
      </c>
      <c r="G401" t="s">
        <v>29</v>
      </c>
      <c r="H401" t="s">
        <v>145</v>
      </c>
      <c r="I401">
        <v>32.700000000000003</v>
      </c>
      <c r="J401" s="3">
        <v>84</v>
      </c>
      <c r="K401" t="s">
        <v>1248</v>
      </c>
      <c r="L401" t="s">
        <v>653</v>
      </c>
      <c r="M401" s="4">
        <v>0.49</v>
      </c>
      <c r="N401" s="4">
        <v>0.5</v>
      </c>
    </row>
    <row r="402" spans="1:14" x14ac:dyDescent="0.4">
      <c r="A402">
        <v>401</v>
      </c>
      <c r="B402">
        <v>2010</v>
      </c>
      <c r="C402" t="s">
        <v>1249</v>
      </c>
      <c r="D402" t="str">
        <f>HYPERLINK("https://ota.tournamentsoftware.com/player-profile/6899D50E-82C7-4259-BF02-069DB1C0CE52", "Link")</f>
        <v>Link</v>
      </c>
      <c r="E402" s="2">
        <v>381.07600000000002</v>
      </c>
      <c r="F402" s="3">
        <v>14</v>
      </c>
      <c r="G402" t="s">
        <v>20</v>
      </c>
      <c r="H402" t="s">
        <v>16</v>
      </c>
      <c r="I402">
        <v>31.7</v>
      </c>
      <c r="J402" s="3">
        <v>122</v>
      </c>
      <c r="K402" t="s">
        <v>1250</v>
      </c>
      <c r="L402" t="s">
        <v>1251</v>
      </c>
      <c r="M402" s="4">
        <v>0.38</v>
      </c>
      <c r="N402" s="4">
        <v>0.35</v>
      </c>
    </row>
    <row r="403" spans="1:14" x14ac:dyDescent="0.4">
      <c r="A403">
        <v>402</v>
      </c>
      <c r="B403">
        <v>2014</v>
      </c>
      <c r="C403" t="s">
        <v>1252</v>
      </c>
      <c r="D403" t="str">
        <f>HYPERLINK("https://ota.tournamentsoftware.com/player-profile/FA9126B9-8D97-4D5E-9E34-8893BB836AE1", "Link")</f>
        <v>Link</v>
      </c>
      <c r="E403" s="2">
        <v>378.59800000000001</v>
      </c>
      <c r="F403" s="3">
        <v>25</v>
      </c>
      <c r="G403" t="s">
        <v>20</v>
      </c>
      <c r="H403" t="s">
        <v>127</v>
      </c>
      <c r="I403">
        <v>29.1</v>
      </c>
      <c r="J403" s="3">
        <v>259</v>
      </c>
      <c r="K403" t="s">
        <v>1253</v>
      </c>
      <c r="L403" t="s">
        <v>1254</v>
      </c>
      <c r="M403" s="4">
        <v>0.49</v>
      </c>
      <c r="N403" s="4">
        <v>0.54</v>
      </c>
    </row>
    <row r="404" spans="1:14" x14ac:dyDescent="0.4">
      <c r="A404">
        <v>403</v>
      </c>
      <c r="B404">
        <v>2014</v>
      </c>
      <c r="C404" t="s">
        <v>1255</v>
      </c>
      <c r="D404" t="str">
        <f>HYPERLINK("https://ota.tournamentsoftware.com/player-profile/7215E114-BC9E-4292-9B97-03B766DB64EA", "Link")</f>
        <v>Link</v>
      </c>
      <c r="E404" s="2">
        <v>370.411</v>
      </c>
      <c r="F404" s="3">
        <v>12</v>
      </c>
      <c r="G404" t="s">
        <v>173</v>
      </c>
      <c r="H404" t="s">
        <v>174</v>
      </c>
      <c r="I404">
        <v>33.5</v>
      </c>
      <c r="J404" s="3">
        <v>128</v>
      </c>
      <c r="K404" t="s">
        <v>1256</v>
      </c>
      <c r="L404" t="s">
        <v>818</v>
      </c>
      <c r="M404" s="4">
        <v>0.51</v>
      </c>
      <c r="N404" s="4">
        <v>0.56000000000000005</v>
      </c>
    </row>
    <row r="405" spans="1:14" x14ac:dyDescent="0.4">
      <c r="A405">
        <v>404</v>
      </c>
      <c r="B405">
        <v>2013</v>
      </c>
      <c r="C405" t="s">
        <v>1257</v>
      </c>
      <c r="D405" t="str">
        <f>HYPERLINK("https://ota.tournamentsoftware.com/player-profile/F9F10EB5-F22D-4997-85F1-78377170C70A", "Link")</f>
        <v>Link</v>
      </c>
      <c r="E405" s="2">
        <v>367.85300000000001</v>
      </c>
      <c r="F405" s="3">
        <v>26</v>
      </c>
      <c r="G405" t="s">
        <v>109</v>
      </c>
      <c r="H405" t="s">
        <v>110</v>
      </c>
      <c r="I405">
        <v>31.9</v>
      </c>
      <c r="J405" s="3">
        <v>122</v>
      </c>
      <c r="K405" t="s">
        <v>1258</v>
      </c>
      <c r="L405" t="s">
        <v>1259</v>
      </c>
      <c r="M405" s="4">
        <v>0.42</v>
      </c>
      <c r="N405" s="4">
        <v>0.42</v>
      </c>
    </row>
    <row r="406" spans="1:14" x14ac:dyDescent="0.4">
      <c r="A406">
        <v>405</v>
      </c>
      <c r="B406">
        <v>2013</v>
      </c>
      <c r="C406" t="s">
        <v>1260</v>
      </c>
      <c r="D406" t="str">
        <f>HYPERLINK("https://ota.tournamentsoftware.com/player-profile/7E3C3388-CB92-4FE9-B0C8-FE6415D966E4", "Link")</f>
        <v>Link</v>
      </c>
      <c r="E406" s="2">
        <v>366.07900000000001</v>
      </c>
      <c r="F406" s="3">
        <v>17</v>
      </c>
      <c r="G406" t="s">
        <v>29</v>
      </c>
      <c r="H406" t="s">
        <v>1261</v>
      </c>
      <c r="I406">
        <v>36.200000000000003</v>
      </c>
      <c r="J406" s="3">
        <v>143</v>
      </c>
      <c r="K406" t="s">
        <v>1262</v>
      </c>
      <c r="L406" t="s">
        <v>610</v>
      </c>
      <c r="M406" s="4">
        <v>0.48</v>
      </c>
      <c r="N406" s="4">
        <v>0.28999999999999998</v>
      </c>
    </row>
    <row r="407" spans="1:14" x14ac:dyDescent="0.4">
      <c r="A407">
        <v>406</v>
      </c>
      <c r="B407">
        <v>2011</v>
      </c>
      <c r="C407" t="s">
        <v>1263</v>
      </c>
      <c r="D407" t="str">
        <f>HYPERLINK("https://ota.tournamentsoftware.com/player-profile/AA707914-32A6-4D31-ABB4-3F8E18DCFAE2", "Link")</f>
        <v>Link</v>
      </c>
      <c r="E407" s="2">
        <v>365.74400000000003</v>
      </c>
      <c r="F407" s="3">
        <v>6</v>
      </c>
      <c r="G407" t="s">
        <v>20</v>
      </c>
      <c r="H407" t="s">
        <v>21</v>
      </c>
      <c r="I407">
        <v>33.299999999999997</v>
      </c>
      <c r="J407" s="3">
        <v>234</v>
      </c>
      <c r="K407" t="s">
        <v>1264</v>
      </c>
      <c r="L407" t="s">
        <v>879</v>
      </c>
      <c r="M407" s="4">
        <v>0.28999999999999998</v>
      </c>
      <c r="N407" s="4">
        <v>0</v>
      </c>
    </row>
    <row r="408" spans="1:14" x14ac:dyDescent="0.4">
      <c r="A408">
        <v>407</v>
      </c>
      <c r="B408">
        <v>2011</v>
      </c>
      <c r="C408" t="s">
        <v>1265</v>
      </c>
      <c r="D408" t="str">
        <f>HYPERLINK("https://ota.tournamentsoftware.com/player-profile/D922E3B0-A64D-4FFE-86BC-F32706CAF20C", "Link")</f>
        <v>Link</v>
      </c>
      <c r="E408" s="2">
        <v>359.77</v>
      </c>
      <c r="F408" s="3">
        <v>3</v>
      </c>
      <c r="G408" t="s">
        <v>20</v>
      </c>
      <c r="H408" t="s">
        <v>16</v>
      </c>
      <c r="I408">
        <v>31.3</v>
      </c>
      <c r="J408" s="3">
        <v>209</v>
      </c>
      <c r="K408" t="s">
        <v>1266</v>
      </c>
      <c r="L408" t="s">
        <v>1267</v>
      </c>
      <c r="M408" s="4">
        <v>0.51</v>
      </c>
      <c r="N408" s="4">
        <v>0.25</v>
      </c>
    </row>
    <row r="409" spans="1:14" x14ac:dyDescent="0.4">
      <c r="A409">
        <v>408</v>
      </c>
      <c r="B409">
        <v>2011</v>
      </c>
      <c r="C409" t="s">
        <v>1268</v>
      </c>
      <c r="D409" t="str">
        <f>HYPERLINK("https://ota.tournamentsoftware.com/player-profile/AA8C42CA-21FB-426D-B6C5-124930208E51", "Link")</f>
        <v>Link</v>
      </c>
      <c r="E409" s="2">
        <v>350.84899999999999</v>
      </c>
      <c r="F409" s="3">
        <v>6</v>
      </c>
      <c r="G409" t="s">
        <v>20</v>
      </c>
      <c r="H409" t="s">
        <v>260</v>
      </c>
      <c r="I409">
        <v>32.5</v>
      </c>
      <c r="J409" s="3">
        <v>113</v>
      </c>
      <c r="K409" t="s">
        <v>1269</v>
      </c>
      <c r="L409" t="s">
        <v>1270</v>
      </c>
      <c r="M409" s="4">
        <v>0.47</v>
      </c>
      <c r="N409" s="4">
        <v>0.6</v>
      </c>
    </row>
    <row r="410" spans="1:14" x14ac:dyDescent="0.4">
      <c r="A410">
        <v>409</v>
      </c>
      <c r="B410">
        <v>2011</v>
      </c>
      <c r="C410" t="s">
        <v>1271</v>
      </c>
      <c r="D410" t="str">
        <f>HYPERLINK("https://ota.tournamentsoftware.com/player-profile/337F8529-0D2D-489B-9D8F-902787FEF49B", "Link")</f>
        <v>Link</v>
      </c>
      <c r="E410" s="2">
        <v>350.197</v>
      </c>
      <c r="F410" s="3">
        <v>15</v>
      </c>
      <c r="G410" t="s">
        <v>29</v>
      </c>
      <c r="H410" t="s">
        <v>199</v>
      </c>
      <c r="I410" t="s">
        <v>48</v>
      </c>
      <c r="J410" s="3">
        <v>44</v>
      </c>
      <c r="K410" t="s">
        <v>1272</v>
      </c>
      <c r="L410" t="s">
        <v>355</v>
      </c>
      <c r="M410" s="4">
        <v>0.36</v>
      </c>
      <c r="N410" s="4">
        <v>0.39</v>
      </c>
    </row>
    <row r="411" spans="1:14" x14ac:dyDescent="0.4">
      <c r="A411">
        <v>410</v>
      </c>
      <c r="B411">
        <v>2010</v>
      </c>
      <c r="C411" t="s">
        <v>1273</v>
      </c>
      <c r="D411" t="str">
        <f>HYPERLINK("https://ota.tournamentsoftware.com/player-profile/BE584556-4F77-4BB1-AF11-FE894C7F28F9", "Link")</f>
        <v>Link</v>
      </c>
      <c r="E411" s="2">
        <v>348.28899999999999</v>
      </c>
      <c r="F411" s="3">
        <v>6</v>
      </c>
      <c r="G411" t="s">
        <v>109</v>
      </c>
      <c r="H411" t="s">
        <v>110</v>
      </c>
      <c r="I411">
        <v>26.1</v>
      </c>
      <c r="J411" s="3">
        <v>312</v>
      </c>
      <c r="K411" t="s">
        <v>1274</v>
      </c>
      <c r="L411" t="s">
        <v>1275</v>
      </c>
      <c r="M411" s="4">
        <v>0.54</v>
      </c>
      <c r="N411" s="4">
        <v>0.31</v>
      </c>
    </row>
    <row r="412" spans="1:14" x14ac:dyDescent="0.4">
      <c r="A412">
        <v>411</v>
      </c>
      <c r="B412">
        <v>2014</v>
      </c>
      <c r="C412" t="s">
        <v>1276</v>
      </c>
      <c r="D412" t="str">
        <f>HYPERLINK("https://ota.tournamentsoftware.com/player-profile/3046278B-E91E-4DE6-B598-5CD7D202AA49", "Link")</f>
        <v>Link</v>
      </c>
      <c r="E412" s="2">
        <v>344.77</v>
      </c>
      <c r="F412" s="3">
        <v>33</v>
      </c>
      <c r="G412" t="s">
        <v>29</v>
      </c>
      <c r="H412" t="s">
        <v>163</v>
      </c>
      <c r="I412">
        <v>33.700000000000003</v>
      </c>
      <c r="J412" s="3">
        <v>82</v>
      </c>
      <c r="K412" t="s">
        <v>1277</v>
      </c>
      <c r="L412" t="s">
        <v>1278</v>
      </c>
      <c r="M412" s="4">
        <v>0.51</v>
      </c>
      <c r="N412" s="4">
        <v>0.53</v>
      </c>
    </row>
    <row r="413" spans="1:14" x14ac:dyDescent="0.4">
      <c r="A413">
        <v>412</v>
      </c>
      <c r="B413">
        <v>2012</v>
      </c>
      <c r="C413" t="s">
        <v>1279</v>
      </c>
      <c r="D413" t="str">
        <f>HYPERLINK("https://ota.tournamentsoftware.com/player-profile/16EA0E7B-0025-4333-9A2A-28395C436A40", "Link")</f>
        <v>Link</v>
      </c>
      <c r="E413" s="2">
        <v>343.767</v>
      </c>
      <c r="F413" s="3">
        <v>17</v>
      </c>
      <c r="G413" t="s">
        <v>20</v>
      </c>
      <c r="H413" t="s">
        <v>296</v>
      </c>
      <c r="I413">
        <v>30.3</v>
      </c>
      <c r="J413" s="3">
        <v>186</v>
      </c>
      <c r="K413" t="s">
        <v>1280</v>
      </c>
      <c r="L413" t="s">
        <v>1281</v>
      </c>
      <c r="M413" s="4">
        <v>0.5</v>
      </c>
      <c r="N413" s="4">
        <v>0.44</v>
      </c>
    </row>
    <row r="414" spans="1:14" x14ac:dyDescent="0.4">
      <c r="A414">
        <v>413</v>
      </c>
      <c r="B414">
        <v>2011</v>
      </c>
      <c r="C414" t="s">
        <v>1282</v>
      </c>
      <c r="D414" t="str">
        <f>HYPERLINK("https://ota.tournamentsoftware.com/player-profile/BC934F50-27D3-4C47-8521-BB8CF41C5852", "Link")</f>
        <v>Link</v>
      </c>
      <c r="E414" s="2">
        <v>342.274</v>
      </c>
      <c r="F414" s="3">
        <v>2</v>
      </c>
      <c r="G414" t="s">
        <v>20</v>
      </c>
      <c r="H414" t="s">
        <v>919</v>
      </c>
      <c r="I414">
        <v>32.1</v>
      </c>
      <c r="J414" s="3">
        <v>173</v>
      </c>
      <c r="K414" t="s">
        <v>1283</v>
      </c>
      <c r="L414" t="s">
        <v>1284</v>
      </c>
      <c r="M414" s="4">
        <v>0.37</v>
      </c>
      <c r="N414" s="4">
        <v>0.33</v>
      </c>
    </row>
    <row r="415" spans="1:14" x14ac:dyDescent="0.4">
      <c r="A415">
        <v>414</v>
      </c>
      <c r="B415">
        <v>2011</v>
      </c>
      <c r="C415" t="s">
        <v>1285</v>
      </c>
      <c r="D415" t="str">
        <f>HYPERLINK("https://ota.tournamentsoftware.com/player-profile/89D1F4FC-B117-4A2D-84FA-F5ECB293EABD", "Link")</f>
        <v>Link</v>
      </c>
      <c r="E415" s="2">
        <v>342.18200000000002</v>
      </c>
      <c r="F415" s="3">
        <v>10</v>
      </c>
      <c r="G415" t="s">
        <v>20</v>
      </c>
      <c r="H415" t="s">
        <v>16</v>
      </c>
      <c r="I415">
        <v>34.5</v>
      </c>
      <c r="J415" s="3">
        <v>84</v>
      </c>
      <c r="K415" t="s">
        <v>1286</v>
      </c>
      <c r="L415" t="s">
        <v>1287</v>
      </c>
      <c r="M415" s="4">
        <v>0.25</v>
      </c>
      <c r="N415" s="4">
        <v>0.15</v>
      </c>
    </row>
    <row r="416" spans="1:14" x14ac:dyDescent="0.4">
      <c r="A416">
        <v>415</v>
      </c>
      <c r="B416">
        <v>2012</v>
      </c>
      <c r="C416" t="s">
        <v>1288</v>
      </c>
      <c r="D416" t="str">
        <f>HYPERLINK("https://ota.tournamentsoftware.com/player-profile/FE0B9224-EA2B-4B60-AB52-7A0A2ACA90DA", "Link")</f>
        <v>Link</v>
      </c>
      <c r="E416" s="2">
        <v>340.822</v>
      </c>
      <c r="F416" s="3">
        <v>22</v>
      </c>
      <c r="G416" t="s">
        <v>29</v>
      </c>
      <c r="H416" t="s">
        <v>141</v>
      </c>
      <c r="I416" t="s">
        <v>48</v>
      </c>
      <c r="J416" s="3">
        <v>139</v>
      </c>
      <c r="K416" t="s">
        <v>1289</v>
      </c>
      <c r="L416" t="s">
        <v>1229</v>
      </c>
      <c r="M416" s="4">
        <v>0.42</v>
      </c>
      <c r="N416" s="4">
        <v>0.37</v>
      </c>
    </row>
    <row r="417" spans="1:14" x14ac:dyDescent="0.4">
      <c r="A417">
        <v>416</v>
      </c>
      <c r="B417">
        <v>2012</v>
      </c>
      <c r="C417" t="s">
        <v>1290</v>
      </c>
      <c r="D417" t="str">
        <f>HYPERLINK("https://ota.tournamentsoftware.com/player-profile/6FDF9E24-9EF2-40B8-AA29-4E8DB70822F9", "Link")</f>
        <v>Link</v>
      </c>
      <c r="E417" s="2">
        <v>339.23700000000002</v>
      </c>
      <c r="F417" s="3">
        <v>15</v>
      </c>
      <c r="G417" t="s">
        <v>25</v>
      </c>
      <c r="H417" t="s">
        <v>289</v>
      </c>
      <c r="I417">
        <v>30.4</v>
      </c>
      <c r="J417" s="3">
        <v>147</v>
      </c>
      <c r="K417" t="s">
        <v>1291</v>
      </c>
      <c r="L417" t="s">
        <v>1292</v>
      </c>
      <c r="M417" s="4">
        <v>0.5</v>
      </c>
      <c r="N417" s="4">
        <v>0.31</v>
      </c>
    </row>
    <row r="418" spans="1:14" x14ac:dyDescent="0.4">
      <c r="A418">
        <v>417</v>
      </c>
      <c r="B418">
        <v>2014</v>
      </c>
      <c r="C418" t="s">
        <v>1293</v>
      </c>
      <c r="D418" t="str">
        <f>HYPERLINK("https://ota.tournamentsoftware.com/player-profile/15F8CE0F-EF62-4029-B13B-F131581B8B29", "Link")</f>
        <v>Link</v>
      </c>
      <c r="E418" s="2">
        <v>338.54500000000002</v>
      </c>
      <c r="F418" s="3">
        <v>24</v>
      </c>
      <c r="G418" t="s">
        <v>109</v>
      </c>
      <c r="H418" t="s">
        <v>281</v>
      </c>
      <c r="I418">
        <v>32</v>
      </c>
      <c r="J418" s="3">
        <v>178</v>
      </c>
      <c r="K418" t="s">
        <v>1294</v>
      </c>
      <c r="L418" t="s">
        <v>1295</v>
      </c>
      <c r="M418" s="4">
        <v>0.56999999999999995</v>
      </c>
      <c r="N418" s="4">
        <v>0.6</v>
      </c>
    </row>
    <row r="419" spans="1:14" x14ac:dyDescent="0.4">
      <c r="A419">
        <v>418</v>
      </c>
      <c r="B419">
        <v>2013</v>
      </c>
      <c r="C419" t="s">
        <v>1296</v>
      </c>
      <c r="D419" t="str">
        <f>HYPERLINK("https://ota.tournamentsoftware.com/player-profile/9F68BF9A-4FFA-4754-8023-C9F4ABCF0003", "Link")</f>
        <v>Link</v>
      </c>
      <c r="E419" s="2">
        <v>336.99900000000002</v>
      </c>
      <c r="F419" s="3">
        <v>22</v>
      </c>
      <c r="G419" t="s">
        <v>20</v>
      </c>
      <c r="H419" t="s">
        <v>1297</v>
      </c>
      <c r="I419">
        <v>30.2</v>
      </c>
      <c r="J419" s="3">
        <v>165</v>
      </c>
      <c r="K419" t="s">
        <v>1298</v>
      </c>
      <c r="L419" t="s">
        <v>949</v>
      </c>
      <c r="M419" s="4">
        <v>0.56000000000000005</v>
      </c>
      <c r="N419" s="4">
        <v>0.56999999999999995</v>
      </c>
    </row>
    <row r="420" spans="1:14" x14ac:dyDescent="0.4">
      <c r="A420">
        <v>419</v>
      </c>
      <c r="B420">
        <v>2013</v>
      </c>
      <c r="C420" t="s">
        <v>1299</v>
      </c>
      <c r="D420" t="str">
        <f>HYPERLINK("https://ota.tournamentsoftware.com/player-profile/848C25E0-4CBB-4051-8AB5-C8460313D4A3", "Link")</f>
        <v>Link</v>
      </c>
      <c r="E420" s="2">
        <v>336.84699999999998</v>
      </c>
      <c r="F420" s="3">
        <v>23</v>
      </c>
      <c r="G420" t="s">
        <v>25</v>
      </c>
      <c r="H420" t="s">
        <v>289</v>
      </c>
      <c r="I420">
        <v>32.4</v>
      </c>
      <c r="J420" s="3">
        <v>217</v>
      </c>
      <c r="K420" t="s">
        <v>1300</v>
      </c>
      <c r="L420" t="s">
        <v>921</v>
      </c>
      <c r="M420" s="4">
        <v>0.47</v>
      </c>
      <c r="N420" s="4">
        <v>0.15</v>
      </c>
    </row>
    <row r="421" spans="1:14" x14ac:dyDescent="0.4">
      <c r="A421">
        <v>420</v>
      </c>
      <c r="B421">
        <v>2011</v>
      </c>
      <c r="C421" t="s">
        <v>1301</v>
      </c>
      <c r="D421" t="str">
        <f>HYPERLINK("https://ota.tournamentsoftware.com/player-profile/24AA62AE-BBCC-4E7A-9CC7-4C9E36911859", "Link")</f>
        <v>Link</v>
      </c>
      <c r="E421" s="2">
        <v>336.83</v>
      </c>
      <c r="F421" s="3">
        <v>5</v>
      </c>
      <c r="G421" t="s">
        <v>185</v>
      </c>
      <c r="H421" t="s">
        <v>213</v>
      </c>
      <c r="I421">
        <v>30.2</v>
      </c>
      <c r="J421" s="3">
        <v>61</v>
      </c>
      <c r="K421" t="s">
        <v>1302</v>
      </c>
      <c r="L421" t="s">
        <v>1303</v>
      </c>
      <c r="M421" s="4">
        <v>0.26</v>
      </c>
      <c r="N421" s="4">
        <v>0.14000000000000001</v>
      </c>
    </row>
    <row r="422" spans="1:14" x14ac:dyDescent="0.4">
      <c r="A422">
        <v>421</v>
      </c>
      <c r="B422">
        <v>2014</v>
      </c>
      <c r="C422" t="s">
        <v>1304</v>
      </c>
      <c r="D422" t="str">
        <f>HYPERLINK("https://ota.tournamentsoftware.com/player-profile/631BF8EC-5FD6-41F7-A4BC-1B4980693D40", "Link")</f>
        <v>Link</v>
      </c>
      <c r="E422" s="2">
        <v>336.64499999999998</v>
      </c>
      <c r="F422" s="3">
        <v>33</v>
      </c>
      <c r="G422" t="s">
        <v>25</v>
      </c>
      <c r="H422" t="s">
        <v>85</v>
      </c>
      <c r="I422">
        <v>32.299999999999997</v>
      </c>
      <c r="J422" s="3">
        <v>205</v>
      </c>
      <c r="K422" t="s">
        <v>1305</v>
      </c>
      <c r="L422" t="s">
        <v>438</v>
      </c>
      <c r="M422" s="4">
        <v>0.51</v>
      </c>
      <c r="N422" s="4">
        <v>0.61</v>
      </c>
    </row>
    <row r="423" spans="1:14" x14ac:dyDescent="0.4">
      <c r="A423">
        <v>422</v>
      </c>
      <c r="B423">
        <v>2013</v>
      </c>
      <c r="C423" t="s">
        <v>1306</v>
      </c>
      <c r="D423" t="str">
        <f>HYPERLINK("https://ota.tournamentsoftware.com/player-profile/BEE8D838-8464-4CCF-9268-D0D58F108999", "Link")</f>
        <v>Link</v>
      </c>
      <c r="E423" s="2">
        <v>335.35899999999998</v>
      </c>
      <c r="F423" s="3">
        <v>21</v>
      </c>
      <c r="G423" t="s">
        <v>25</v>
      </c>
      <c r="H423" t="s">
        <v>754</v>
      </c>
      <c r="I423">
        <v>36.6</v>
      </c>
      <c r="J423" s="3">
        <v>174</v>
      </c>
      <c r="K423" t="s">
        <v>1307</v>
      </c>
      <c r="L423" t="s">
        <v>1308</v>
      </c>
      <c r="M423" s="4">
        <v>0.21</v>
      </c>
      <c r="N423" s="4">
        <v>0.15</v>
      </c>
    </row>
    <row r="424" spans="1:14" x14ac:dyDescent="0.4">
      <c r="A424">
        <v>423</v>
      </c>
      <c r="B424">
        <v>2013</v>
      </c>
      <c r="C424" t="s">
        <v>1309</v>
      </c>
      <c r="D424" t="str">
        <f>HYPERLINK("https://ota.tournamentsoftware.com/player-profile/D690466C-B3D9-45B2-B453-BA40F436A5C1", "Link")</f>
        <v>Link</v>
      </c>
      <c r="E424" s="2">
        <v>335.17599999999999</v>
      </c>
      <c r="F424" s="3">
        <v>4</v>
      </c>
      <c r="G424" t="s">
        <v>435</v>
      </c>
      <c r="H424" t="s">
        <v>16</v>
      </c>
      <c r="I424">
        <v>27.4</v>
      </c>
      <c r="J424" s="3">
        <v>39</v>
      </c>
      <c r="K424" t="s">
        <v>1310</v>
      </c>
      <c r="L424" t="s">
        <v>1311</v>
      </c>
      <c r="M424" s="4">
        <v>0.77</v>
      </c>
      <c r="N424" s="4">
        <v>0.76</v>
      </c>
    </row>
    <row r="425" spans="1:14" x14ac:dyDescent="0.4">
      <c r="A425">
        <v>424</v>
      </c>
      <c r="B425">
        <v>2011</v>
      </c>
      <c r="C425" t="s">
        <v>1312</v>
      </c>
      <c r="D425" t="str">
        <f>HYPERLINK("https://ota.tournamentsoftware.com/player-profile/DE40CFEA-02A7-4B43-9278-8550268200EA", "Link")</f>
        <v>Link</v>
      </c>
      <c r="E425" s="2">
        <v>334.92200000000003</v>
      </c>
      <c r="F425" s="3">
        <v>11</v>
      </c>
      <c r="G425" t="s">
        <v>25</v>
      </c>
      <c r="H425" t="s">
        <v>240</v>
      </c>
      <c r="I425">
        <v>29.7</v>
      </c>
      <c r="J425" s="3">
        <v>46</v>
      </c>
      <c r="K425" t="s">
        <v>1313</v>
      </c>
      <c r="L425" t="s">
        <v>1189</v>
      </c>
      <c r="M425" s="4">
        <v>0.61</v>
      </c>
      <c r="N425" s="4">
        <v>0.17</v>
      </c>
    </row>
    <row r="426" spans="1:14" x14ac:dyDescent="0.4">
      <c r="A426">
        <v>425</v>
      </c>
      <c r="B426">
        <v>2012</v>
      </c>
      <c r="C426" t="s">
        <v>1314</v>
      </c>
      <c r="D426" t="str">
        <f>HYPERLINK("https://ota.tournamentsoftware.com/player-profile/3A2980C0-C922-4870-A2B4-18E74AC903C2", "Link")</f>
        <v>Link</v>
      </c>
      <c r="E426" s="2">
        <v>332.28399999999999</v>
      </c>
      <c r="F426" s="3">
        <v>25</v>
      </c>
      <c r="G426" t="s">
        <v>25</v>
      </c>
      <c r="H426" t="s">
        <v>85</v>
      </c>
      <c r="I426">
        <v>32.6</v>
      </c>
      <c r="J426" s="3">
        <v>141</v>
      </c>
      <c r="K426" t="s">
        <v>1315</v>
      </c>
      <c r="L426" t="s">
        <v>1316</v>
      </c>
      <c r="M426" s="4">
        <v>0.4</v>
      </c>
      <c r="N426" s="4">
        <v>0.36</v>
      </c>
    </row>
    <row r="427" spans="1:14" x14ac:dyDescent="0.4">
      <c r="A427">
        <v>426</v>
      </c>
      <c r="B427">
        <v>2013</v>
      </c>
      <c r="C427" t="s">
        <v>1317</v>
      </c>
      <c r="D427" t="str">
        <f>HYPERLINK("https://ota.tournamentsoftware.com/player-profile/87F8F2BE-10FE-41D7-8382-85524C1D5D23", "Link")</f>
        <v>Link</v>
      </c>
      <c r="E427" s="2">
        <v>330.988</v>
      </c>
      <c r="F427" s="3">
        <v>9</v>
      </c>
      <c r="G427" t="s">
        <v>15</v>
      </c>
      <c r="H427" t="s">
        <v>271</v>
      </c>
      <c r="I427" t="s">
        <v>48</v>
      </c>
      <c r="J427" s="3">
        <v>31</v>
      </c>
      <c r="K427" t="s">
        <v>1139</v>
      </c>
      <c r="L427" t="s">
        <v>1308</v>
      </c>
      <c r="M427" s="4">
        <v>0.13</v>
      </c>
      <c r="N427" s="4">
        <v>0.15</v>
      </c>
    </row>
    <row r="428" spans="1:14" x14ac:dyDescent="0.4">
      <c r="A428">
        <v>427</v>
      </c>
      <c r="B428">
        <v>2012</v>
      </c>
      <c r="C428" t="s">
        <v>1318</v>
      </c>
      <c r="D428" t="str">
        <f>HYPERLINK("https://ota.tournamentsoftware.com/player-profile/EFF894D9-35F7-45C9-9C57-06584708D213", "Link")</f>
        <v>Link</v>
      </c>
      <c r="E428" s="2">
        <v>327.26900000000001</v>
      </c>
      <c r="F428" s="3">
        <v>13</v>
      </c>
      <c r="G428" t="s">
        <v>109</v>
      </c>
      <c r="H428" t="s">
        <v>110</v>
      </c>
      <c r="I428">
        <v>29.1</v>
      </c>
      <c r="J428" s="3">
        <v>167</v>
      </c>
      <c r="K428" t="s">
        <v>1319</v>
      </c>
      <c r="L428" t="s">
        <v>577</v>
      </c>
      <c r="M428" s="4">
        <v>0.49</v>
      </c>
      <c r="N428" s="4">
        <v>0.48</v>
      </c>
    </row>
    <row r="429" spans="1:14" x14ac:dyDescent="0.4">
      <c r="A429">
        <v>428</v>
      </c>
      <c r="B429">
        <v>2014</v>
      </c>
      <c r="C429" t="s">
        <v>1320</v>
      </c>
      <c r="D429" t="str">
        <f>HYPERLINK("https://ota.tournamentsoftware.com/player-profile/8D59FB71-FC68-41E0-B69F-920C29B60AD3", "Link")</f>
        <v>Link</v>
      </c>
      <c r="E429" s="2">
        <v>322.52800000000002</v>
      </c>
      <c r="F429" s="3">
        <v>26</v>
      </c>
      <c r="G429" t="s">
        <v>29</v>
      </c>
      <c r="H429" t="s">
        <v>141</v>
      </c>
      <c r="I429">
        <v>32.6</v>
      </c>
      <c r="J429" s="3">
        <v>157</v>
      </c>
      <c r="K429" t="s">
        <v>1321</v>
      </c>
      <c r="L429" t="s">
        <v>411</v>
      </c>
      <c r="M429" s="4">
        <v>0.5</v>
      </c>
      <c r="N429" s="4">
        <v>0.62</v>
      </c>
    </row>
    <row r="430" spans="1:14" x14ac:dyDescent="0.4">
      <c r="A430">
        <v>429</v>
      </c>
      <c r="B430">
        <v>2010</v>
      </c>
      <c r="C430" t="s">
        <v>1322</v>
      </c>
      <c r="D430" t="str">
        <f>HYPERLINK("https://ota.tournamentsoftware.com/player-profile/EAD2BFA5-C756-44EE-865B-A6795921F696", "Link")</f>
        <v>Link</v>
      </c>
      <c r="E430" s="2">
        <v>322.43299999999999</v>
      </c>
      <c r="F430" s="3">
        <v>7</v>
      </c>
      <c r="G430" t="s">
        <v>29</v>
      </c>
      <c r="H430" t="s">
        <v>528</v>
      </c>
      <c r="I430">
        <v>35.4</v>
      </c>
      <c r="J430" s="3">
        <v>19</v>
      </c>
      <c r="K430" t="s">
        <v>1323</v>
      </c>
      <c r="L430" t="s">
        <v>1324</v>
      </c>
      <c r="M430" s="4">
        <v>0.32</v>
      </c>
      <c r="N430" s="4">
        <v>0.12</v>
      </c>
    </row>
    <row r="431" spans="1:14" x14ac:dyDescent="0.4">
      <c r="A431">
        <v>430</v>
      </c>
      <c r="B431">
        <v>2015</v>
      </c>
      <c r="C431" t="s">
        <v>1325</v>
      </c>
      <c r="D431" t="str">
        <f>HYPERLINK("https://ota.tournamentsoftware.com/player-profile/1DF0BC06-9057-4469-9CEF-A9B5D864D9C9", "Link")</f>
        <v>Link</v>
      </c>
      <c r="E431" s="2">
        <v>321.68</v>
      </c>
      <c r="F431" s="3">
        <v>18</v>
      </c>
      <c r="G431" t="s">
        <v>20</v>
      </c>
      <c r="H431" t="s">
        <v>127</v>
      </c>
      <c r="I431">
        <v>29.4</v>
      </c>
      <c r="J431" s="3">
        <v>167</v>
      </c>
      <c r="K431" t="s">
        <v>1326</v>
      </c>
      <c r="L431" t="s">
        <v>1327</v>
      </c>
      <c r="M431" s="4">
        <v>0.59</v>
      </c>
      <c r="N431" s="4">
        <v>0.65</v>
      </c>
    </row>
    <row r="432" spans="1:14" x14ac:dyDescent="0.4">
      <c r="A432">
        <v>431</v>
      </c>
      <c r="B432">
        <v>2012</v>
      </c>
      <c r="C432" t="s">
        <v>1328</v>
      </c>
      <c r="D432" t="str">
        <f>HYPERLINK("https://ota.tournamentsoftware.com/player-profile/CDFDF0FB-A147-4D3C-BF4D-24E115B9EC1A", "Link")</f>
        <v>Link</v>
      </c>
      <c r="E432" s="2">
        <v>318.52800000000002</v>
      </c>
      <c r="F432" s="3">
        <v>6</v>
      </c>
      <c r="G432" t="s">
        <v>185</v>
      </c>
      <c r="H432" t="s">
        <v>213</v>
      </c>
      <c r="I432">
        <v>35.1</v>
      </c>
      <c r="J432" s="3">
        <v>49</v>
      </c>
      <c r="K432" t="s">
        <v>1329</v>
      </c>
      <c r="L432" t="s">
        <v>1020</v>
      </c>
      <c r="M432" s="4">
        <v>0.28999999999999998</v>
      </c>
      <c r="N432" s="4">
        <v>0.18</v>
      </c>
    </row>
    <row r="433" spans="1:14" x14ac:dyDescent="0.4">
      <c r="A433">
        <v>432</v>
      </c>
      <c r="B433">
        <v>2015</v>
      </c>
      <c r="C433" t="s">
        <v>1330</v>
      </c>
      <c r="D433" t="str">
        <f>HYPERLINK("https://ota.tournamentsoftware.com/player-profile/4AE431B3-C9E6-49D8-8003-48666B13F94B", "Link")</f>
        <v>Link</v>
      </c>
      <c r="E433" s="2">
        <v>316.50900000000001</v>
      </c>
      <c r="F433" s="3">
        <v>21</v>
      </c>
      <c r="G433" t="s">
        <v>25</v>
      </c>
      <c r="H433" t="s">
        <v>1331</v>
      </c>
      <c r="I433">
        <v>31.5</v>
      </c>
      <c r="J433" s="3">
        <v>192</v>
      </c>
      <c r="K433" t="s">
        <v>1332</v>
      </c>
      <c r="L433" t="s">
        <v>1333</v>
      </c>
      <c r="M433" s="4">
        <v>0.61</v>
      </c>
      <c r="N433" s="4">
        <v>0.6</v>
      </c>
    </row>
    <row r="434" spans="1:14" x14ac:dyDescent="0.4">
      <c r="A434">
        <v>433</v>
      </c>
      <c r="B434">
        <v>2012</v>
      </c>
      <c r="C434" t="s">
        <v>1334</v>
      </c>
      <c r="D434" t="str">
        <f>HYPERLINK("https://ota.tournamentsoftware.com/player-profile/D9FB3068-A1A7-4F96-B728-095D292B805C", "Link")</f>
        <v>Link</v>
      </c>
      <c r="E434" s="2">
        <v>312.56</v>
      </c>
      <c r="F434" s="3">
        <v>22</v>
      </c>
      <c r="G434" t="s">
        <v>29</v>
      </c>
      <c r="H434" t="s">
        <v>1335</v>
      </c>
      <c r="I434" t="s">
        <v>48</v>
      </c>
      <c r="J434" s="3">
        <v>56</v>
      </c>
      <c r="K434" t="s">
        <v>1336</v>
      </c>
      <c r="L434" t="s">
        <v>1337</v>
      </c>
      <c r="M434" s="4">
        <v>0.59</v>
      </c>
      <c r="N434" s="4">
        <v>0.54</v>
      </c>
    </row>
    <row r="435" spans="1:14" x14ac:dyDescent="0.4">
      <c r="A435">
        <v>434</v>
      </c>
      <c r="B435">
        <v>2013</v>
      </c>
      <c r="C435" t="s">
        <v>1338</v>
      </c>
      <c r="D435" t="str">
        <f>HYPERLINK("https://ota.tournamentsoftware.com/player-profile/C6305E19-1670-4857-9967-0344F0C8AB1D", "Link")</f>
        <v>Link</v>
      </c>
      <c r="E435" s="2">
        <v>312.47199999999998</v>
      </c>
      <c r="F435" s="3">
        <v>25</v>
      </c>
      <c r="G435" t="s">
        <v>29</v>
      </c>
      <c r="H435" t="s">
        <v>1078</v>
      </c>
      <c r="I435">
        <v>33.299999999999997</v>
      </c>
      <c r="J435" s="3">
        <v>101</v>
      </c>
      <c r="K435" t="s">
        <v>1339</v>
      </c>
      <c r="L435" t="s">
        <v>1340</v>
      </c>
      <c r="M435" s="4">
        <v>0.51</v>
      </c>
      <c r="N435" s="4">
        <v>0.47</v>
      </c>
    </row>
    <row r="436" spans="1:14" x14ac:dyDescent="0.4">
      <c r="A436">
        <v>435</v>
      </c>
      <c r="B436">
        <v>2012</v>
      </c>
      <c r="C436" t="s">
        <v>1341</v>
      </c>
      <c r="D436" t="str">
        <f>HYPERLINK("https://ota.tournamentsoftware.com/player-profile/5CE5CCC5-E821-48EF-86C9-6973D97D1F92", "Link")</f>
        <v>Link</v>
      </c>
      <c r="E436" s="2">
        <v>311.911</v>
      </c>
      <c r="F436" s="3">
        <v>16</v>
      </c>
      <c r="G436" t="s">
        <v>109</v>
      </c>
      <c r="H436" t="s">
        <v>110</v>
      </c>
      <c r="I436">
        <v>27.9</v>
      </c>
      <c r="J436" s="3">
        <v>115</v>
      </c>
      <c r="K436" t="s">
        <v>1342</v>
      </c>
      <c r="L436" t="s">
        <v>221</v>
      </c>
      <c r="M436" s="4">
        <v>0.53</v>
      </c>
      <c r="N436" s="4">
        <v>0.51</v>
      </c>
    </row>
    <row r="437" spans="1:14" x14ac:dyDescent="0.4">
      <c r="A437">
        <v>436</v>
      </c>
      <c r="B437">
        <v>2011</v>
      </c>
      <c r="C437" t="s">
        <v>1343</v>
      </c>
      <c r="D437" t="str">
        <f>HYPERLINK("https://ota.tournamentsoftware.com/player-profile/5E362B37-2184-494F-A9DD-569140A0E4BC", "Link")</f>
        <v>Link</v>
      </c>
      <c r="E437" s="2">
        <v>311.25099999999998</v>
      </c>
      <c r="F437" s="3">
        <v>7</v>
      </c>
      <c r="G437" t="s">
        <v>29</v>
      </c>
      <c r="H437" t="s">
        <v>1344</v>
      </c>
      <c r="I437">
        <v>33.799999999999997</v>
      </c>
      <c r="J437" s="3">
        <v>7</v>
      </c>
      <c r="K437" t="s">
        <v>999</v>
      </c>
      <c r="L437" t="s">
        <v>999</v>
      </c>
      <c r="M437" s="4">
        <v>0.43</v>
      </c>
      <c r="N437" s="4">
        <v>0.43</v>
      </c>
    </row>
    <row r="438" spans="1:14" x14ac:dyDescent="0.4">
      <c r="A438">
        <v>437</v>
      </c>
      <c r="B438">
        <v>2012</v>
      </c>
      <c r="C438" t="s">
        <v>1345</v>
      </c>
      <c r="D438" t="str">
        <f>HYPERLINK("https://ota.tournamentsoftware.com/player-profile/40DA5F9F-8E70-4030-A0ED-A54E3D8832D2", "Link")</f>
        <v>Link</v>
      </c>
      <c r="E438" s="2">
        <v>310.85300000000001</v>
      </c>
      <c r="F438" s="3">
        <v>7</v>
      </c>
      <c r="G438" t="s">
        <v>173</v>
      </c>
      <c r="H438" t="s">
        <v>887</v>
      </c>
      <c r="I438">
        <v>36</v>
      </c>
      <c r="J438" s="3">
        <v>37</v>
      </c>
      <c r="K438" t="s">
        <v>1346</v>
      </c>
      <c r="L438" t="s">
        <v>1347</v>
      </c>
      <c r="M438" s="4">
        <v>0.22</v>
      </c>
      <c r="N438" s="4">
        <v>0.21</v>
      </c>
    </row>
    <row r="439" spans="1:14" x14ac:dyDescent="0.4">
      <c r="A439">
        <v>438</v>
      </c>
      <c r="B439">
        <v>2015</v>
      </c>
      <c r="C439" t="s">
        <v>1348</v>
      </c>
      <c r="D439" t="str">
        <f>HYPERLINK("https://ota.tournamentsoftware.com/player-profile/25055713-74C7-482D-8A9B-00D94FB7068B", "Link")</f>
        <v>Link</v>
      </c>
      <c r="E439" s="2">
        <v>309.29500000000002</v>
      </c>
      <c r="F439" s="3">
        <v>23</v>
      </c>
      <c r="G439" t="s">
        <v>20</v>
      </c>
      <c r="H439" t="s">
        <v>127</v>
      </c>
      <c r="I439">
        <v>29.3</v>
      </c>
      <c r="J439" s="3">
        <v>224</v>
      </c>
      <c r="K439" t="s">
        <v>1349</v>
      </c>
      <c r="L439" t="s">
        <v>845</v>
      </c>
      <c r="M439" s="4">
        <v>0.63</v>
      </c>
      <c r="N439" s="4">
        <v>0.62</v>
      </c>
    </row>
    <row r="440" spans="1:14" x14ac:dyDescent="0.4">
      <c r="A440">
        <v>439</v>
      </c>
      <c r="B440">
        <v>2013</v>
      </c>
      <c r="C440" t="s">
        <v>1350</v>
      </c>
      <c r="D440" t="str">
        <f>HYPERLINK("https://ota.tournamentsoftware.com/player-profile/4A086BBB-EEC2-48A4-BDDA-142D9D4A3534", "Link")</f>
        <v>Link</v>
      </c>
      <c r="E440" s="2">
        <v>308.995</v>
      </c>
      <c r="F440" s="3">
        <v>24</v>
      </c>
      <c r="G440" t="s">
        <v>29</v>
      </c>
      <c r="H440" t="s">
        <v>141</v>
      </c>
      <c r="I440" t="s">
        <v>48</v>
      </c>
      <c r="J440" s="3">
        <v>95</v>
      </c>
      <c r="K440" t="s">
        <v>1351</v>
      </c>
      <c r="L440" t="s">
        <v>414</v>
      </c>
      <c r="M440" s="4">
        <v>0.41</v>
      </c>
      <c r="N440" s="4">
        <v>0.43</v>
      </c>
    </row>
    <row r="441" spans="1:14" x14ac:dyDescent="0.4">
      <c r="A441">
        <v>440</v>
      </c>
      <c r="B441">
        <v>2013</v>
      </c>
      <c r="C441" t="s">
        <v>1352</v>
      </c>
      <c r="D441" t="str">
        <f>HYPERLINK("https://ota.tournamentsoftware.com/player-profile/1F426AE8-5B0F-4535-AD10-450570C37073", "Link")</f>
        <v>Link</v>
      </c>
      <c r="E441" s="2">
        <v>308.80799999999999</v>
      </c>
      <c r="F441" s="3">
        <v>16</v>
      </c>
      <c r="G441" t="s">
        <v>29</v>
      </c>
      <c r="H441" t="s">
        <v>364</v>
      </c>
      <c r="I441" t="s">
        <v>48</v>
      </c>
      <c r="J441" s="3">
        <v>108</v>
      </c>
      <c r="K441" t="s">
        <v>1353</v>
      </c>
      <c r="L441" t="s">
        <v>1354</v>
      </c>
      <c r="M441" s="4">
        <v>0.37</v>
      </c>
      <c r="N441" s="4">
        <v>0.25</v>
      </c>
    </row>
    <row r="442" spans="1:14" x14ac:dyDescent="0.4">
      <c r="A442">
        <v>441</v>
      </c>
      <c r="B442">
        <v>2015</v>
      </c>
      <c r="C442" t="s">
        <v>1355</v>
      </c>
      <c r="D442" t="str">
        <f>HYPERLINK("https://ota.tournamentsoftware.com/player-profile/C02052CF-6FBB-4C91-8237-A96FF9B4C794", "Link")</f>
        <v>Link</v>
      </c>
      <c r="E442" s="2">
        <v>308.77100000000002</v>
      </c>
      <c r="F442" s="3">
        <v>16</v>
      </c>
      <c r="G442" t="s">
        <v>109</v>
      </c>
      <c r="H442" t="s">
        <v>387</v>
      </c>
      <c r="I442">
        <v>31.2</v>
      </c>
      <c r="J442" s="3">
        <v>162</v>
      </c>
      <c r="K442" t="s">
        <v>1356</v>
      </c>
      <c r="L442" t="s">
        <v>553</v>
      </c>
      <c r="M442" s="4">
        <v>0.64</v>
      </c>
      <c r="N442" s="4">
        <v>0.45</v>
      </c>
    </row>
    <row r="443" spans="1:14" x14ac:dyDescent="0.4">
      <c r="A443">
        <v>442</v>
      </c>
      <c r="B443">
        <v>2013</v>
      </c>
      <c r="C443" t="s">
        <v>1357</v>
      </c>
      <c r="D443" t="str">
        <f>HYPERLINK("https://ota.tournamentsoftware.com/player-profile/7816DF47-252D-402D-BF26-B906A8AB6ED7", "Link")</f>
        <v>Link</v>
      </c>
      <c r="E443" s="2">
        <v>308.62599999999998</v>
      </c>
      <c r="F443" s="3">
        <v>10</v>
      </c>
      <c r="G443" t="s">
        <v>25</v>
      </c>
      <c r="H443" t="s">
        <v>754</v>
      </c>
      <c r="I443">
        <v>33.1</v>
      </c>
      <c r="J443" s="3">
        <v>138</v>
      </c>
      <c r="K443" t="s">
        <v>1358</v>
      </c>
      <c r="L443" t="s">
        <v>610</v>
      </c>
      <c r="M443" s="4">
        <v>0.6</v>
      </c>
      <c r="N443" s="4">
        <v>0.28999999999999998</v>
      </c>
    </row>
    <row r="444" spans="1:14" x14ac:dyDescent="0.4">
      <c r="A444">
        <v>443</v>
      </c>
      <c r="B444">
        <v>2013</v>
      </c>
      <c r="C444" t="s">
        <v>1359</v>
      </c>
      <c r="D444" t="str">
        <f>HYPERLINK("https://ota.tournamentsoftware.com/player-profile/6ADCA248-D68F-47BB-9ED7-CDC7448C4AE9", "Link")</f>
        <v>Link</v>
      </c>
      <c r="E444" s="2">
        <v>307.11799999999999</v>
      </c>
      <c r="F444" s="3">
        <v>6</v>
      </c>
      <c r="G444" t="s">
        <v>185</v>
      </c>
      <c r="H444" t="s">
        <v>1360</v>
      </c>
      <c r="I444" t="s">
        <v>48</v>
      </c>
      <c r="J444" s="3">
        <v>59</v>
      </c>
      <c r="K444" t="s">
        <v>1361</v>
      </c>
      <c r="L444" t="s">
        <v>1200</v>
      </c>
      <c r="M444" s="4">
        <v>0.37</v>
      </c>
      <c r="N444" s="4">
        <v>0.43</v>
      </c>
    </row>
    <row r="445" spans="1:14" x14ac:dyDescent="0.4">
      <c r="A445">
        <v>444</v>
      </c>
      <c r="B445">
        <v>2011</v>
      </c>
      <c r="C445" t="s">
        <v>1362</v>
      </c>
      <c r="D445" t="str">
        <f>HYPERLINK("https://ota.tournamentsoftware.com/player-profile/264D6384-86A2-435D-90C9-A7706ABA309C", "Link")</f>
        <v>Link</v>
      </c>
      <c r="E445" s="2">
        <v>306.23</v>
      </c>
      <c r="F445" s="3">
        <v>11</v>
      </c>
      <c r="G445" t="s">
        <v>25</v>
      </c>
      <c r="H445" t="s">
        <v>289</v>
      </c>
      <c r="I445">
        <v>33.5</v>
      </c>
      <c r="J445" s="3">
        <v>69</v>
      </c>
      <c r="K445" t="s">
        <v>1363</v>
      </c>
      <c r="L445" t="s">
        <v>1364</v>
      </c>
      <c r="M445" s="4">
        <v>0.26</v>
      </c>
      <c r="N445" s="4">
        <v>0.11</v>
      </c>
    </row>
    <row r="446" spans="1:14" x14ac:dyDescent="0.4">
      <c r="A446">
        <v>445</v>
      </c>
      <c r="B446">
        <v>2014</v>
      </c>
      <c r="C446" t="s">
        <v>1365</v>
      </c>
      <c r="D446" t="str">
        <f>HYPERLINK("https://ota.tournamentsoftware.com/player-profile/6AE6D507-C7A4-4B8D-AF2E-EBFE848DD41B", "Link")</f>
        <v>Link</v>
      </c>
      <c r="E446" s="2">
        <v>303.327</v>
      </c>
      <c r="F446" s="3">
        <v>19</v>
      </c>
      <c r="G446" t="s">
        <v>29</v>
      </c>
      <c r="H446" t="s">
        <v>16</v>
      </c>
      <c r="I446">
        <v>31.5</v>
      </c>
      <c r="J446" s="3">
        <v>192</v>
      </c>
      <c r="K446" t="s">
        <v>1366</v>
      </c>
      <c r="L446" t="s">
        <v>1367</v>
      </c>
      <c r="M446" s="4">
        <v>0.59</v>
      </c>
      <c r="N446" s="4">
        <v>0.56000000000000005</v>
      </c>
    </row>
    <row r="447" spans="1:14" x14ac:dyDescent="0.4">
      <c r="A447">
        <v>446</v>
      </c>
      <c r="B447">
        <v>2014</v>
      </c>
      <c r="C447" t="s">
        <v>1368</v>
      </c>
      <c r="D447" t="str">
        <f>HYPERLINK("https://ota.tournamentsoftware.com/player-profile/DB8FA904-8DE1-4D99-951F-F44CD792291A", "Link")</f>
        <v>Link</v>
      </c>
      <c r="E447" s="2">
        <v>302.64800000000002</v>
      </c>
      <c r="F447" s="3">
        <v>17</v>
      </c>
      <c r="G447" t="s">
        <v>20</v>
      </c>
      <c r="H447" t="s">
        <v>1369</v>
      </c>
      <c r="I447" t="s">
        <v>48</v>
      </c>
      <c r="J447" s="3">
        <v>196</v>
      </c>
      <c r="K447" t="s">
        <v>1370</v>
      </c>
      <c r="L447" t="s">
        <v>1371</v>
      </c>
      <c r="M447" s="4">
        <v>0.56999999999999995</v>
      </c>
      <c r="N447" s="4">
        <v>0.68</v>
      </c>
    </row>
    <row r="448" spans="1:14" x14ac:dyDescent="0.4">
      <c r="A448">
        <v>447</v>
      </c>
      <c r="B448">
        <v>2013</v>
      </c>
      <c r="C448" t="s">
        <v>1372</v>
      </c>
      <c r="D448" t="str">
        <f>HYPERLINK("https://ota.tournamentsoftware.com/player-profile/30F898AC-1C96-41C5-BBB0-3BFD30EC0D0D", "Link")</f>
        <v>Link</v>
      </c>
      <c r="E448" s="2">
        <v>300.70600000000002</v>
      </c>
      <c r="F448" s="3">
        <v>25</v>
      </c>
      <c r="G448" t="s">
        <v>20</v>
      </c>
      <c r="H448" t="s">
        <v>809</v>
      </c>
      <c r="I448">
        <v>31.8</v>
      </c>
      <c r="J448" s="3">
        <v>162</v>
      </c>
      <c r="K448" t="s">
        <v>1373</v>
      </c>
      <c r="L448" t="s">
        <v>1374</v>
      </c>
      <c r="M448" s="4">
        <v>0.38</v>
      </c>
      <c r="N448" s="4">
        <v>0.48</v>
      </c>
    </row>
    <row r="449" spans="1:14" x14ac:dyDescent="0.4">
      <c r="A449">
        <v>448</v>
      </c>
      <c r="B449">
        <v>2014</v>
      </c>
      <c r="C449" t="s">
        <v>1375</v>
      </c>
      <c r="D449" t="str">
        <f>HYPERLINK("https://ota.tournamentsoftware.com/player-profile/A86A9BCB-375D-415C-BD04-3D7638B2F6E8", "Link")</f>
        <v>Link</v>
      </c>
      <c r="E449" s="2">
        <v>299.702</v>
      </c>
      <c r="F449" s="3">
        <v>32</v>
      </c>
      <c r="G449" t="s">
        <v>29</v>
      </c>
      <c r="H449" t="s">
        <v>199</v>
      </c>
      <c r="I449">
        <v>33</v>
      </c>
      <c r="J449" s="3">
        <v>119</v>
      </c>
      <c r="K449" t="s">
        <v>1376</v>
      </c>
      <c r="L449" t="s">
        <v>1377</v>
      </c>
      <c r="M449" s="4">
        <v>0.49</v>
      </c>
      <c r="N449" s="4">
        <v>0.53</v>
      </c>
    </row>
    <row r="450" spans="1:14" x14ac:dyDescent="0.4">
      <c r="A450">
        <v>449</v>
      </c>
      <c r="B450">
        <v>2015</v>
      </c>
      <c r="C450" t="s">
        <v>1378</v>
      </c>
      <c r="D450" t="str">
        <f>HYPERLINK("https://ota.tournamentsoftware.com/player-profile/C2D18227-6075-4F1E-83A2-40A822F874D3", "Link")</f>
        <v>Link</v>
      </c>
      <c r="E450" s="2">
        <v>298.67</v>
      </c>
      <c r="F450" s="3">
        <v>28</v>
      </c>
      <c r="G450" t="s">
        <v>25</v>
      </c>
      <c r="H450" t="s">
        <v>99</v>
      </c>
      <c r="I450">
        <v>32.799999999999997</v>
      </c>
      <c r="J450" s="3">
        <v>193</v>
      </c>
      <c r="K450" t="s">
        <v>1379</v>
      </c>
      <c r="L450" t="s">
        <v>1380</v>
      </c>
      <c r="M450" s="4">
        <v>0.52</v>
      </c>
      <c r="N450" s="4">
        <v>0.55000000000000004</v>
      </c>
    </row>
    <row r="451" spans="1:14" x14ac:dyDescent="0.4">
      <c r="A451">
        <v>450</v>
      </c>
      <c r="B451">
        <v>2014</v>
      </c>
      <c r="C451" t="s">
        <v>1381</v>
      </c>
      <c r="D451" t="str">
        <f>HYPERLINK("https://ota.tournamentsoftware.com/player-profile/9E69163B-7ED7-4450-8845-0676D6C943B8", "Link")</f>
        <v>Link</v>
      </c>
      <c r="E451" s="2">
        <v>293.83199999999999</v>
      </c>
      <c r="F451" s="3">
        <v>21</v>
      </c>
      <c r="G451" t="s">
        <v>20</v>
      </c>
      <c r="H451" t="s">
        <v>16</v>
      </c>
      <c r="I451">
        <v>29.6</v>
      </c>
      <c r="J451" s="3">
        <v>198</v>
      </c>
      <c r="K451" t="s">
        <v>1382</v>
      </c>
      <c r="L451" t="s">
        <v>1383</v>
      </c>
      <c r="M451" s="4">
        <v>0.55000000000000004</v>
      </c>
      <c r="N451" s="4">
        <v>0.56000000000000005</v>
      </c>
    </row>
    <row r="452" spans="1:14" x14ac:dyDescent="0.4">
      <c r="A452">
        <v>451</v>
      </c>
      <c r="B452">
        <v>2014</v>
      </c>
      <c r="C452" t="s">
        <v>1384</v>
      </c>
      <c r="D452" t="str">
        <f>HYPERLINK("https://ota.tournamentsoftware.com/player-profile/683C106F-AE4B-4C63-B1A3-D9C25FFAD31B", "Link")</f>
        <v>Link</v>
      </c>
      <c r="E452" s="2">
        <v>289.98099999999999</v>
      </c>
      <c r="F452" s="3">
        <v>11</v>
      </c>
      <c r="G452" t="s">
        <v>185</v>
      </c>
      <c r="H452" t="s">
        <v>213</v>
      </c>
      <c r="I452" t="s">
        <v>48</v>
      </c>
      <c r="J452" s="3">
        <v>74</v>
      </c>
      <c r="K452" t="s">
        <v>1385</v>
      </c>
      <c r="L452" t="s">
        <v>1386</v>
      </c>
      <c r="M452" s="4">
        <v>0.28000000000000003</v>
      </c>
      <c r="N452" s="4">
        <v>0.26</v>
      </c>
    </row>
    <row r="453" spans="1:14" x14ac:dyDescent="0.4">
      <c r="A453">
        <v>452</v>
      </c>
      <c r="B453">
        <v>2013</v>
      </c>
      <c r="C453" t="s">
        <v>1387</v>
      </c>
      <c r="D453" t="str">
        <f>HYPERLINK("https://ota.tournamentsoftware.com/player-profile/98461C64-ECF9-40D8-849E-C8999A9F9BA1", "Link")</f>
        <v>Link</v>
      </c>
      <c r="E453" s="2">
        <v>289.88099999999997</v>
      </c>
      <c r="F453" s="3">
        <v>20</v>
      </c>
      <c r="G453" t="s">
        <v>25</v>
      </c>
      <c r="H453" t="s">
        <v>240</v>
      </c>
      <c r="I453" t="s">
        <v>48</v>
      </c>
      <c r="J453" s="3">
        <v>120</v>
      </c>
      <c r="K453" t="s">
        <v>1388</v>
      </c>
      <c r="L453" t="s">
        <v>1211</v>
      </c>
      <c r="M453" s="4">
        <v>0.49</v>
      </c>
      <c r="N453" s="4">
        <v>0.43</v>
      </c>
    </row>
    <row r="454" spans="1:14" x14ac:dyDescent="0.4">
      <c r="A454">
        <v>453</v>
      </c>
      <c r="B454">
        <v>2012</v>
      </c>
      <c r="C454" t="s">
        <v>1389</v>
      </c>
      <c r="D454" t="str">
        <f>HYPERLINK("https://ota.tournamentsoftware.com/player-profile/1B130952-D24A-467D-813D-2DA5B56ADFFF", "Link")</f>
        <v>Link</v>
      </c>
      <c r="E454" s="2">
        <v>289.524</v>
      </c>
      <c r="F454" s="3">
        <v>20</v>
      </c>
      <c r="G454" t="s">
        <v>25</v>
      </c>
      <c r="H454" t="s">
        <v>60</v>
      </c>
      <c r="I454" t="s">
        <v>48</v>
      </c>
      <c r="J454" s="3">
        <v>85</v>
      </c>
      <c r="K454" t="s">
        <v>1390</v>
      </c>
      <c r="L454" t="s">
        <v>303</v>
      </c>
      <c r="M454" s="4">
        <v>0.45</v>
      </c>
      <c r="N454" s="4">
        <v>0.52</v>
      </c>
    </row>
    <row r="455" spans="1:14" x14ac:dyDescent="0.4">
      <c r="A455">
        <v>454</v>
      </c>
      <c r="B455">
        <v>2011</v>
      </c>
      <c r="C455" t="s">
        <v>1391</v>
      </c>
      <c r="D455" t="str">
        <f>HYPERLINK("https://ota.tournamentsoftware.com/player-profile/258B83C4-74C6-450B-92AF-C12CDC3E6F6A", "Link")</f>
        <v>Link</v>
      </c>
      <c r="E455" s="2">
        <v>287.30399999999997</v>
      </c>
      <c r="F455" s="3">
        <v>11</v>
      </c>
      <c r="G455" t="s">
        <v>29</v>
      </c>
      <c r="H455" t="s">
        <v>1118</v>
      </c>
      <c r="I455">
        <v>31.8</v>
      </c>
      <c r="J455" s="3">
        <v>155</v>
      </c>
      <c r="K455" t="s">
        <v>1392</v>
      </c>
      <c r="L455" t="s">
        <v>1303</v>
      </c>
      <c r="M455" s="4">
        <v>0.38</v>
      </c>
      <c r="N455" s="4">
        <v>0.14000000000000001</v>
      </c>
    </row>
    <row r="456" spans="1:14" x14ac:dyDescent="0.4">
      <c r="A456">
        <v>455</v>
      </c>
      <c r="B456">
        <v>2010</v>
      </c>
      <c r="C456" t="s">
        <v>1393</v>
      </c>
      <c r="D456" t="str">
        <f>HYPERLINK("https://ota.tournamentsoftware.com/player-profile/2C6A49C5-0E25-46CF-AD45-42FCB482CEC9", "Link")</f>
        <v>Link</v>
      </c>
      <c r="E456" s="2">
        <v>286.90899999999999</v>
      </c>
      <c r="F456" s="3">
        <v>6</v>
      </c>
      <c r="G456" t="s">
        <v>109</v>
      </c>
      <c r="H456" t="s">
        <v>110</v>
      </c>
      <c r="I456">
        <v>26.5</v>
      </c>
      <c r="J456" s="3">
        <v>242</v>
      </c>
      <c r="K456" t="s">
        <v>1394</v>
      </c>
      <c r="L456" t="s">
        <v>914</v>
      </c>
      <c r="M456" s="4">
        <v>0.6</v>
      </c>
      <c r="N456" s="4">
        <v>0.53</v>
      </c>
    </row>
    <row r="457" spans="1:14" x14ac:dyDescent="0.4">
      <c r="A457">
        <v>456</v>
      </c>
      <c r="B457">
        <v>2015</v>
      </c>
      <c r="C457" t="s">
        <v>1395</v>
      </c>
      <c r="D457" t="str">
        <f>HYPERLINK("https://ota.tournamentsoftware.com/player-profile/3D976EDA-1737-4852-A9BF-C67ED47C73C1", "Link")</f>
        <v>Link</v>
      </c>
      <c r="E457" s="2">
        <v>285.67200000000003</v>
      </c>
      <c r="F457" s="3">
        <v>21</v>
      </c>
      <c r="G457" t="s">
        <v>29</v>
      </c>
      <c r="H457" t="s">
        <v>88</v>
      </c>
      <c r="I457">
        <v>31.4</v>
      </c>
      <c r="J457" s="3">
        <v>190</v>
      </c>
      <c r="K457" t="s">
        <v>1396</v>
      </c>
      <c r="L457" t="s">
        <v>417</v>
      </c>
      <c r="M457" s="4">
        <v>0.5</v>
      </c>
      <c r="N457" s="4">
        <v>0.64</v>
      </c>
    </row>
    <row r="458" spans="1:14" x14ac:dyDescent="0.4">
      <c r="A458">
        <v>457</v>
      </c>
      <c r="B458">
        <v>2013</v>
      </c>
      <c r="C458" t="s">
        <v>1397</v>
      </c>
      <c r="D458" t="str">
        <f>HYPERLINK("https://ota.tournamentsoftware.com/player-profile/C0B95842-5E69-4EBF-8E5C-398666A7112E", "Link")</f>
        <v>Link</v>
      </c>
      <c r="E458" s="2">
        <v>283.67899999999997</v>
      </c>
      <c r="F458" s="3">
        <v>15</v>
      </c>
      <c r="G458" t="s">
        <v>20</v>
      </c>
      <c r="H458" t="s">
        <v>919</v>
      </c>
      <c r="I458">
        <v>33</v>
      </c>
      <c r="J458" s="3">
        <v>113</v>
      </c>
      <c r="K458" t="s">
        <v>1398</v>
      </c>
      <c r="L458" t="s">
        <v>889</v>
      </c>
      <c r="M458" s="4">
        <v>0.46</v>
      </c>
      <c r="N458" s="4">
        <v>0.35</v>
      </c>
    </row>
    <row r="459" spans="1:14" x14ac:dyDescent="0.4">
      <c r="A459">
        <v>458</v>
      </c>
      <c r="B459">
        <v>2014</v>
      </c>
      <c r="C459" t="s">
        <v>1399</v>
      </c>
      <c r="D459" t="str">
        <f>HYPERLINK("https://ota.tournamentsoftware.com/player-profile/5CC54F7D-0D30-4EF4-BE6C-A336041BBEE2", "Link")</f>
        <v>Link</v>
      </c>
      <c r="E459" s="2">
        <v>283.44200000000001</v>
      </c>
      <c r="F459" s="3">
        <v>22</v>
      </c>
      <c r="G459" t="s">
        <v>29</v>
      </c>
      <c r="H459" t="s">
        <v>1400</v>
      </c>
      <c r="I459">
        <v>33.299999999999997</v>
      </c>
      <c r="J459" s="3">
        <v>102</v>
      </c>
      <c r="K459" t="s">
        <v>1401</v>
      </c>
      <c r="L459" t="s">
        <v>1402</v>
      </c>
      <c r="M459" s="4">
        <v>0.52</v>
      </c>
      <c r="N459" s="4">
        <v>0.51</v>
      </c>
    </row>
    <row r="460" spans="1:14" x14ac:dyDescent="0.4">
      <c r="A460">
        <v>459</v>
      </c>
      <c r="B460">
        <v>2014</v>
      </c>
      <c r="C460" t="s">
        <v>1403</v>
      </c>
      <c r="D460" t="str">
        <f>HYPERLINK("https://ota.tournamentsoftware.com/player-profile/4412DB09-5DE9-45DA-AB13-46B4F24B409F", "Link")</f>
        <v>Link</v>
      </c>
      <c r="E460" s="2">
        <v>282.54599999999999</v>
      </c>
      <c r="F460" s="3">
        <v>10</v>
      </c>
      <c r="G460" t="s">
        <v>185</v>
      </c>
      <c r="H460" t="s">
        <v>186</v>
      </c>
      <c r="I460">
        <v>35.200000000000003</v>
      </c>
      <c r="J460" s="3">
        <v>35</v>
      </c>
      <c r="K460" t="s">
        <v>1404</v>
      </c>
      <c r="L460" t="s">
        <v>1404</v>
      </c>
      <c r="M460" s="4">
        <v>0.26</v>
      </c>
      <c r="N460" s="4">
        <v>0.26</v>
      </c>
    </row>
    <row r="461" spans="1:14" x14ac:dyDescent="0.4">
      <c r="A461">
        <v>460</v>
      </c>
      <c r="B461">
        <v>2011</v>
      </c>
      <c r="C461" t="s">
        <v>1405</v>
      </c>
      <c r="D461" t="str">
        <f>HYPERLINK("https://ota.tournamentsoftware.com/player-profile/965ED5FB-BA53-4EF1-B8E6-F19375140FB2", "Link")</f>
        <v>Link</v>
      </c>
      <c r="E461" s="2">
        <v>282</v>
      </c>
      <c r="F461" s="3">
        <v>10</v>
      </c>
      <c r="G461" t="s">
        <v>29</v>
      </c>
      <c r="H461" t="s">
        <v>471</v>
      </c>
      <c r="I461" t="s">
        <v>48</v>
      </c>
      <c r="J461" s="3">
        <v>54</v>
      </c>
      <c r="K461" t="s">
        <v>1406</v>
      </c>
      <c r="L461" t="s">
        <v>1407</v>
      </c>
      <c r="M461" s="4">
        <v>0.41</v>
      </c>
      <c r="N461" s="4">
        <v>0.5</v>
      </c>
    </row>
    <row r="462" spans="1:14" x14ac:dyDescent="0.4">
      <c r="A462">
        <v>461</v>
      </c>
      <c r="B462">
        <v>2014</v>
      </c>
      <c r="C462" t="s">
        <v>1408</v>
      </c>
      <c r="D462" t="str">
        <f>HYPERLINK("https://ota.tournamentsoftware.com/player-profile/EDBCEC0C-45DE-4DFD-B17A-C176B306FC97", "Link")</f>
        <v>Link</v>
      </c>
      <c r="E462" s="2">
        <v>280.68</v>
      </c>
      <c r="F462" s="3">
        <v>23</v>
      </c>
      <c r="G462" t="s">
        <v>29</v>
      </c>
      <c r="H462" t="s">
        <v>323</v>
      </c>
      <c r="I462">
        <v>33.1</v>
      </c>
      <c r="J462" s="3">
        <v>60</v>
      </c>
      <c r="K462" t="s">
        <v>344</v>
      </c>
      <c r="L462" t="s">
        <v>154</v>
      </c>
      <c r="M462" s="4">
        <v>0.56999999999999995</v>
      </c>
      <c r="N462" s="4">
        <v>0.56000000000000005</v>
      </c>
    </row>
    <row r="463" spans="1:14" x14ac:dyDescent="0.4">
      <c r="A463">
        <v>462</v>
      </c>
      <c r="B463">
        <v>2012</v>
      </c>
      <c r="C463" t="s">
        <v>1409</v>
      </c>
      <c r="D463" t="str">
        <f>HYPERLINK("https://ota.tournamentsoftware.com/player-profile/C777EDB2-AC2E-4E02-948A-26DCAC347821", "Link")</f>
        <v>Link</v>
      </c>
      <c r="E463" s="2">
        <v>280.29700000000003</v>
      </c>
      <c r="F463" s="3">
        <v>19</v>
      </c>
      <c r="G463" t="s">
        <v>20</v>
      </c>
      <c r="H463" t="s">
        <v>43</v>
      </c>
      <c r="I463">
        <v>29.6</v>
      </c>
      <c r="J463" s="3">
        <v>124</v>
      </c>
      <c r="K463" t="s">
        <v>1410</v>
      </c>
      <c r="L463" t="s">
        <v>1411</v>
      </c>
      <c r="M463" s="4">
        <v>0.7</v>
      </c>
      <c r="N463" s="4">
        <v>0.74</v>
      </c>
    </row>
    <row r="464" spans="1:14" x14ac:dyDescent="0.4">
      <c r="A464">
        <v>463</v>
      </c>
      <c r="B464">
        <v>2013</v>
      </c>
      <c r="C464" t="s">
        <v>1412</v>
      </c>
      <c r="D464" t="str">
        <f>HYPERLINK("https://ota.tournamentsoftware.com/player-profile/26D50988-CF95-4A0A-9087-8DC8E38F0BDB", "Link")</f>
        <v>Link</v>
      </c>
      <c r="E464" s="2">
        <v>278.58</v>
      </c>
      <c r="F464" s="3">
        <v>19</v>
      </c>
      <c r="G464" t="s">
        <v>20</v>
      </c>
      <c r="H464" t="s">
        <v>1413</v>
      </c>
      <c r="I464">
        <v>30.1</v>
      </c>
      <c r="J464" s="3">
        <v>202</v>
      </c>
      <c r="K464" t="s">
        <v>1414</v>
      </c>
      <c r="L464" t="s">
        <v>451</v>
      </c>
      <c r="M464" s="4">
        <v>0.49</v>
      </c>
      <c r="N464" s="4">
        <v>0.6</v>
      </c>
    </row>
    <row r="465" spans="1:14" x14ac:dyDescent="0.4">
      <c r="A465">
        <v>464</v>
      </c>
      <c r="B465">
        <v>2011</v>
      </c>
      <c r="C465" t="s">
        <v>1415</v>
      </c>
      <c r="D465" t="str">
        <f>HYPERLINK("https://ota.tournamentsoftware.com/player-profile/3851399C-1229-447B-A88D-18F81F3CCBB1", "Link")</f>
        <v>Link</v>
      </c>
      <c r="E465" s="2">
        <v>278.56799999999998</v>
      </c>
      <c r="F465" s="3">
        <v>11</v>
      </c>
      <c r="G465" t="s">
        <v>29</v>
      </c>
      <c r="H465" t="s">
        <v>88</v>
      </c>
      <c r="I465">
        <v>32.700000000000003</v>
      </c>
      <c r="J465" s="3">
        <v>32</v>
      </c>
      <c r="K465" t="s">
        <v>1220</v>
      </c>
      <c r="L465" t="s">
        <v>1416</v>
      </c>
      <c r="M465" s="4">
        <v>0.38</v>
      </c>
      <c r="N465" s="4">
        <v>0.42</v>
      </c>
    </row>
    <row r="466" spans="1:14" x14ac:dyDescent="0.4">
      <c r="A466">
        <v>465</v>
      </c>
      <c r="B466">
        <v>2014</v>
      </c>
      <c r="C466" t="s">
        <v>1417</v>
      </c>
      <c r="D466" t="str">
        <f>HYPERLINK("https://ota.tournamentsoftware.com/player-profile/9986D752-4364-42A6-9A1B-E1BC239760F0", "Link")</f>
        <v>Link</v>
      </c>
      <c r="E466" s="2">
        <v>278.53899999999999</v>
      </c>
      <c r="F466" s="3">
        <v>17</v>
      </c>
      <c r="G466" t="s">
        <v>109</v>
      </c>
      <c r="H466" t="s">
        <v>387</v>
      </c>
      <c r="I466" t="s">
        <v>48</v>
      </c>
      <c r="J466" s="3">
        <v>118</v>
      </c>
      <c r="K466" t="s">
        <v>1418</v>
      </c>
      <c r="L466" t="s">
        <v>1419</v>
      </c>
      <c r="M466" s="4">
        <v>0.5</v>
      </c>
      <c r="N466" s="4">
        <v>0.56000000000000005</v>
      </c>
    </row>
    <row r="467" spans="1:14" x14ac:dyDescent="0.4">
      <c r="A467">
        <v>466</v>
      </c>
      <c r="B467">
        <v>2013</v>
      </c>
      <c r="C467" t="s">
        <v>1420</v>
      </c>
      <c r="D467" t="str">
        <f>HYPERLINK("https://ota.tournamentsoftware.com/player-profile/14F8911D-BF5A-4FE7-BFF6-D5A71E72307F", "Link")</f>
        <v>Link</v>
      </c>
      <c r="E467" s="2">
        <v>278.43200000000002</v>
      </c>
      <c r="F467" s="3">
        <v>10</v>
      </c>
      <c r="G467" t="s">
        <v>435</v>
      </c>
      <c r="H467" t="s">
        <v>436</v>
      </c>
      <c r="I467">
        <v>33.9</v>
      </c>
      <c r="J467" s="3">
        <v>188</v>
      </c>
      <c r="K467" t="s">
        <v>1421</v>
      </c>
      <c r="L467" t="s">
        <v>824</v>
      </c>
      <c r="M467" s="4">
        <v>0.51</v>
      </c>
      <c r="N467" s="4">
        <v>0.41</v>
      </c>
    </row>
    <row r="468" spans="1:14" x14ac:dyDescent="0.4">
      <c r="A468">
        <v>467</v>
      </c>
      <c r="B468">
        <v>2012</v>
      </c>
      <c r="C468" t="s">
        <v>1422</v>
      </c>
      <c r="D468" t="str">
        <f>HYPERLINK("https://ota.tournamentsoftware.com/player-profile/ED5D7332-7665-453C-87FD-D7E5B172FD8A", "Link")</f>
        <v>Link</v>
      </c>
      <c r="E468" s="2">
        <v>276.73599999999999</v>
      </c>
      <c r="F468" s="3">
        <v>24</v>
      </c>
      <c r="G468" t="s">
        <v>25</v>
      </c>
      <c r="H468" t="s">
        <v>754</v>
      </c>
      <c r="I468">
        <v>35.6</v>
      </c>
      <c r="J468" s="3">
        <v>186</v>
      </c>
      <c r="K468" t="s">
        <v>1423</v>
      </c>
      <c r="L468" t="s">
        <v>1424</v>
      </c>
      <c r="M468" s="4">
        <v>0.27</v>
      </c>
      <c r="N468" s="4">
        <v>0.1</v>
      </c>
    </row>
    <row r="469" spans="1:14" x14ac:dyDescent="0.4">
      <c r="A469">
        <v>468</v>
      </c>
      <c r="B469">
        <v>2011</v>
      </c>
      <c r="C469" t="s">
        <v>1425</v>
      </c>
      <c r="D469" t="str">
        <f>HYPERLINK("https://ota.tournamentsoftware.com/player-profile/54D35603-1F51-40C5-92DC-519B67401BF1", "Link")</f>
        <v>Link</v>
      </c>
      <c r="E469" s="2">
        <v>276.13400000000001</v>
      </c>
      <c r="F469" s="3">
        <v>2</v>
      </c>
      <c r="G469" t="s">
        <v>185</v>
      </c>
      <c r="H469" t="s">
        <v>233</v>
      </c>
      <c r="I469">
        <v>35.299999999999997</v>
      </c>
      <c r="J469" s="3">
        <v>8</v>
      </c>
      <c r="K469" t="s">
        <v>1324</v>
      </c>
      <c r="L469" t="s">
        <v>879</v>
      </c>
      <c r="M469" s="4">
        <v>0.12</v>
      </c>
      <c r="N469" s="4">
        <v>0</v>
      </c>
    </row>
    <row r="470" spans="1:14" x14ac:dyDescent="0.4">
      <c r="A470">
        <v>469</v>
      </c>
      <c r="B470">
        <v>2011</v>
      </c>
      <c r="C470" t="s">
        <v>1426</v>
      </c>
      <c r="D470" t="str">
        <f>HYPERLINK("https://ota.tournamentsoftware.com/player-profile/2C3A284F-1B52-43C5-B662-706F83B0B8C7", "Link")</f>
        <v>Link</v>
      </c>
      <c r="E470" s="2">
        <v>275.19299999999998</v>
      </c>
      <c r="F470" s="3">
        <v>5</v>
      </c>
      <c r="G470" t="s">
        <v>29</v>
      </c>
      <c r="H470" t="s">
        <v>103</v>
      </c>
      <c r="I470">
        <v>36.200000000000003</v>
      </c>
      <c r="J470" s="3">
        <v>18</v>
      </c>
      <c r="K470" t="s">
        <v>1427</v>
      </c>
      <c r="L470" t="s">
        <v>1303</v>
      </c>
      <c r="M470" s="4">
        <v>0.11</v>
      </c>
      <c r="N470" s="4">
        <v>0.14000000000000001</v>
      </c>
    </row>
    <row r="471" spans="1:14" x14ac:dyDescent="0.4">
      <c r="A471">
        <v>470</v>
      </c>
      <c r="B471">
        <v>2014</v>
      </c>
      <c r="C471" t="s">
        <v>1428</v>
      </c>
      <c r="D471" t="str">
        <f>HYPERLINK("https://ota.tournamentsoftware.com/player-profile/8B5D18FC-0F51-468A-BE7C-7EA242A06382", "Link")</f>
        <v>Link</v>
      </c>
      <c r="E471" s="2">
        <v>270.27300000000002</v>
      </c>
      <c r="F471" s="3">
        <v>16</v>
      </c>
      <c r="G471" t="s">
        <v>29</v>
      </c>
      <c r="H471" t="s">
        <v>471</v>
      </c>
      <c r="I471">
        <v>32.799999999999997</v>
      </c>
      <c r="J471" s="3">
        <v>89</v>
      </c>
      <c r="K471" t="s">
        <v>1429</v>
      </c>
      <c r="L471" t="s">
        <v>1430</v>
      </c>
      <c r="M471" s="4">
        <v>0.48</v>
      </c>
      <c r="N471" s="4">
        <v>0.5</v>
      </c>
    </row>
    <row r="472" spans="1:14" x14ac:dyDescent="0.4">
      <c r="A472">
        <v>471</v>
      </c>
      <c r="B472">
        <v>2010</v>
      </c>
      <c r="C472" t="s">
        <v>1431</v>
      </c>
      <c r="D472" t="str">
        <f>HYPERLINK("https://ota.tournamentsoftware.com/player-profile/68159327-25C6-47C6-AA2B-9157C7599167", "Link")</f>
        <v>Link</v>
      </c>
      <c r="E472" s="2">
        <v>270.12200000000001</v>
      </c>
      <c r="F472" s="3">
        <v>11</v>
      </c>
      <c r="G472" t="s">
        <v>29</v>
      </c>
      <c r="H472" t="s">
        <v>16</v>
      </c>
      <c r="I472">
        <v>33.299999999999997</v>
      </c>
      <c r="J472" s="3">
        <v>41</v>
      </c>
      <c r="K472" t="s">
        <v>1432</v>
      </c>
      <c r="L472" t="s">
        <v>1433</v>
      </c>
      <c r="M472" s="4">
        <v>0.28999999999999998</v>
      </c>
      <c r="N472" s="4">
        <v>0.38</v>
      </c>
    </row>
    <row r="473" spans="1:14" x14ac:dyDescent="0.4">
      <c r="A473">
        <v>472</v>
      </c>
      <c r="B473">
        <v>2013</v>
      </c>
      <c r="C473" t="s">
        <v>1434</v>
      </c>
      <c r="D473" t="str">
        <f>HYPERLINK("https://ota.tournamentsoftware.com/player-profile/EA584DC9-AF4E-413B-BF0B-75746024F8E4", "Link")</f>
        <v>Link</v>
      </c>
      <c r="E473" s="2">
        <v>269.54399999999998</v>
      </c>
      <c r="F473" s="3">
        <v>23</v>
      </c>
      <c r="G473" t="s">
        <v>29</v>
      </c>
      <c r="H473" t="s">
        <v>1435</v>
      </c>
      <c r="I473" t="s">
        <v>48</v>
      </c>
      <c r="J473" s="3">
        <v>119</v>
      </c>
      <c r="K473" t="s">
        <v>1436</v>
      </c>
      <c r="L473" t="s">
        <v>550</v>
      </c>
      <c r="M473" s="4">
        <v>0.47</v>
      </c>
      <c r="N473" s="4">
        <v>0.53</v>
      </c>
    </row>
    <row r="474" spans="1:14" x14ac:dyDescent="0.4">
      <c r="A474">
        <v>473</v>
      </c>
      <c r="B474">
        <v>2013</v>
      </c>
      <c r="C474" t="s">
        <v>1437</v>
      </c>
      <c r="D474" t="str">
        <f>HYPERLINK("https://ota.tournamentsoftware.com/player-profile/5C480574-FD9C-4816-B1CF-F51441726B25", "Link")</f>
        <v>Link</v>
      </c>
      <c r="E474" s="2">
        <v>267.98200000000003</v>
      </c>
      <c r="F474" s="3">
        <v>16</v>
      </c>
      <c r="G474" t="s">
        <v>29</v>
      </c>
      <c r="H474" t="s">
        <v>528</v>
      </c>
      <c r="I474">
        <v>35.4</v>
      </c>
      <c r="J474" s="3">
        <v>76</v>
      </c>
      <c r="K474" t="s">
        <v>1438</v>
      </c>
      <c r="L474" t="s">
        <v>1097</v>
      </c>
      <c r="M474" s="4">
        <v>0.36</v>
      </c>
      <c r="N474" s="4">
        <v>0.36</v>
      </c>
    </row>
    <row r="475" spans="1:14" x14ac:dyDescent="0.4">
      <c r="A475">
        <v>474</v>
      </c>
      <c r="B475">
        <v>2015</v>
      </c>
      <c r="C475" t="s">
        <v>1439</v>
      </c>
      <c r="D475" t="str">
        <f>HYPERLINK("https://ota.tournamentsoftware.com/player-profile/F1A373DA-18B2-46FA-AF39-157644DB679B", "Link")</f>
        <v>Link</v>
      </c>
      <c r="E475" s="2">
        <v>267.83600000000001</v>
      </c>
      <c r="F475" s="3">
        <v>21</v>
      </c>
      <c r="G475" t="s">
        <v>20</v>
      </c>
      <c r="H475" t="s">
        <v>43</v>
      </c>
      <c r="I475">
        <v>31.5</v>
      </c>
      <c r="J475" s="3">
        <v>187</v>
      </c>
      <c r="K475" t="s">
        <v>1440</v>
      </c>
      <c r="L475" t="s">
        <v>1441</v>
      </c>
      <c r="M475" s="4">
        <v>0.55000000000000004</v>
      </c>
      <c r="N475" s="4">
        <v>0.66</v>
      </c>
    </row>
    <row r="476" spans="1:14" x14ac:dyDescent="0.4">
      <c r="A476">
        <v>475</v>
      </c>
      <c r="B476">
        <v>2011</v>
      </c>
      <c r="C476" t="s">
        <v>1442</v>
      </c>
      <c r="D476" t="str">
        <f>HYPERLINK("https://ota.tournamentsoftware.com/player-profile/AB800C25-A2F2-4DE8-B89A-E359A316FE3E", "Link")</f>
        <v>Link</v>
      </c>
      <c r="E476" s="2">
        <v>267.48</v>
      </c>
      <c r="F476" s="3">
        <v>6</v>
      </c>
      <c r="G476" t="s">
        <v>29</v>
      </c>
      <c r="H476" t="s">
        <v>364</v>
      </c>
      <c r="I476">
        <v>36</v>
      </c>
      <c r="J476" s="3">
        <v>66</v>
      </c>
      <c r="K476" t="s">
        <v>1443</v>
      </c>
      <c r="L476" t="s">
        <v>1444</v>
      </c>
      <c r="M476" s="4">
        <v>0.27</v>
      </c>
      <c r="N476" s="4">
        <v>0.22</v>
      </c>
    </row>
    <row r="477" spans="1:14" x14ac:dyDescent="0.4">
      <c r="A477">
        <v>476</v>
      </c>
      <c r="B477">
        <v>2015</v>
      </c>
      <c r="C477" t="s">
        <v>1445</v>
      </c>
      <c r="D477" t="str">
        <f>HYPERLINK("https://ota.tournamentsoftware.com/player-profile/CF328206-362D-4259-AA9F-74B7EF760A80", "Link")</f>
        <v>Link</v>
      </c>
      <c r="E477" s="2">
        <v>267.45600000000002</v>
      </c>
      <c r="F477" s="3">
        <v>19</v>
      </c>
      <c r="G477" t="s">
        <v>25</v>
      </c>
      <c r="H477" t="s">
        <v>26</v>
      </c>
      <c r="I477">
        <v>32.6</v>
      </c>
      <c r="J477" s="3">
        <v>139</v>
      </c>
      <c r="K477" t="s">
        <v>1446</v>
      </c>
      <c r="L477" t="s">
        <v>659</v>
      </c>
      <c r="M477" s="4">
        <v>0.6</v>
      </c>
      <c r="N477" s="4">
        <v>0.5</v>
      </c>
    </row>
    <row r="478" spans="1:14" x14ac:dyDescent="0.4">
      <c r="A478">
        <v>477</v>
      </c>
      <c r="B478">
        <v>2013</v>
      </c>
      <c r="C478" t="s">
        <v>1447</v>
      </c>
      <c r="D478" t="str">
        <f>HYPERLINK("https://ota.tournamentsoftware.com/player-profile/140A029D-3BE9-44F2-AA6A-53ED5C2991A8", "Link")</f>
        <v>Link</v>
      </c>
      <c r="E478" s="2">
        <v>263.48</v>
      </c>
      <c r="F478" s="3">
        <v>11</v>
      </c>
      <c r="G478" t="s">
        <v>29</v>
      </c>
      <c r="H478" t="s">
        <v>88</v>
      </c>
      <c r="I478">
        <v>32.6</v>
      </c>
      <c r="J478" s="3">
        <v>86</v>
      </c>
      <c r="K478" t="s">
        <v>1448</v>
      </c>
      <c r="L478" t="s">
        <v>1449</v>
      </c>
      <c r="M478" s="4">
        <v>0.62</v>
      </c>
      <c r="N478" s="4">
        <v>0.64</v>
      </c>
    </row>
    <row r="479" spans="1:14" x14ac:dyDescent="0.4">
      <c r="A479">
        <v>478</v>
      </c>
      <c r="B479">
        <v>2011</v>
      </c>
      <c r="C479" t="s">
        <v>1450</v>
      </c>
      <c r="D479" t="str">
        <f>HYPERLINK("https://ota.tournamentsoftware.com/player-profile/BD993B12-DE02-4F8F-AB4E-B3131D92668E", "Link")</f>
        <v>Link</v>
      </c>
      <c r="E479" s="2">
        <v>261.08100000000002</v>
      </c>
      <c r="F479" s="3">
        <v>7</v>
      </c>
      <c r="G479" t="s">
        <v>109</v>
      </c>
      <c r="H479" t="s">
        <v>1451</v>
      </c>
      <c r="I479">
        <v>27.8</v>
      </c>
      <c r="J479" s="3">
        <v>155</v>
      </c>
      <c r="K479" t="s">
        <v>1452</v>
      </c>
      <c r="L479" t="s">
        <v>999</v>
      </c>
      <c r="M479" s="4">
        <v>0.45</v>
      </c>
      <c r="N479" s="4">
        <v>0.43</v>
      </c>
    </row>
    <row r="480" spans="1:14" x14ac:dyDescent="0.4">
      <c r="A480">
        <v>479</v>
      </c>
      <c r="B480">
        <v>2014</v>
      </c>
      <c r="C480" t="s">
        <v>1453</v>
      </c>
      <c r="D480" t="str">
        <f>HYPERLINK("https://ota.tournamentsoftware.com/player-profile/CA495DA8-0B9D-4530-9886-FC567CD73AE9", "Link")</f>
        <v>Link</v>
      </c>
      <c r="E480" s="2">
        <v>260.40300000000002</v>
      </c>
      <c r="F480" s="3">
        <v>18</v>
      </c>
      <c r="G480" t="s">
        <v>29</v>
      </c>
      <c r="H480" t="s">
        <v>199</v>
      </c>
      <c r="I480">
        <v>35.200000000000003</v>
      </c>
      <c r="J480" s="3">
        <v>59</v>
      </c>
      <c r="K480" t="s">
        <v>1454</v>
      </c>
      <c r="L480" t="s">
        <v>1455</v>
      </c>
      <c r="M480" s="4">
        <v>0.42</v>
      </c>
      <c r="N480" s="4">
        <v>0.37</v>
      </c>
    </row>
    <row r="481" spans="1:14" x14ac:dyDescent="0.4">
      <c r="A481">
        <v>480</v>
      </c>
      <c r="B481">
        <v>2015</v>
      </c>
      <c r="C481" t="s">
        <v>1456</v>
      </c>
      <c r="D481" t="str">
        <f>HYPERLINK("https://ota.tournamentsoftware.com/player-profile/464089C3-D2B4-413F-A102-AF0AEFF9A318", "Link")</f>
        <v>Link</v>
      </c>
      <c r="E481" s="2">
        <v>259.33800000000002</v>
      </c>
      <c r="F481" s="3">
        <v>9</v>
      </c>
      <c r="G481" t="s">
        <v>185</v>
      </c>
      <c r="H481" t="s">
        <v>213</v>
      </c>
      <c r="I481">
        <v>36.6</v>
      </c>
      <c r="J481" s="3">
        <v>98</v>
      </c>
      <c r="K481" t="s">
        <v>1457</v>
      </c>
      <c r="L481" t="s">
        <v>1458</v>
      </c>
      <c r="M481" s="4">
        <v>0.28000000000000003</v>
      </c>
      <c r="N481" s="4">
        <v>0.24</v>
      </c>
    </row>
    <row r="482" spans="1:14" x14ac:dyDescent="0.4">
      <c r="A482">
        <v>481</v>
      </c>
      <c r="B482">
        <v>2011</v>
      </c>
      <c r="C482" t="s">
        <v>1459</v>
      </c>
      <c r="D482" t="str">
        <f>HYPERLINK("https://ota.tournamentsoftware.com/player-profile/A4E9C06B-B0F2-4140-AF8F-8A735C568B9E", "Link")</f>
        <v>Link</v>
      </c>
      <c r="E482" s="2">
        <v>258.22699999999998</v>
      </c>
      <c r="F482" s="3">
        <v>6</v>
      </c>
      <c r="G482" t="s">
        <v>29</v>
      </c>
      <c r="H482" t="s">
        <v>679</v>
      </c>
      <c r="I482">
        <v>39.6</v>
      </c>
      <c r="J482" s="3">
        <v>17</v>
      </c>
      <c r="K482" t="s">
        <v>1460</v>
      </c>
      <c r="L482" t="s">
        <v>1189</v>
      </c>
      <c r="M482" s="4">
        <v>0.12</v>
      </c>
      <c r="N482" s="4">
        <v>0.17</v>
      </c>
    </row>
    <row r="483" spans="1:14" x14ac:dyDescent="0.4">
      <c r="A483">
        <v>482</v>
      </c>
      <c r="B483">
        <v>2013</v>
      </c>
      <c r="C483" t="s">
        <v>1461</v>
      </c>
      <c r="D483" t="str">
        <f>HYPERLINK("https://ota.tournamentsoftware.com/player-profile/943BB22B-8108-44B4-80BD-15A6984D1D23", "Link")</f>
        <v>Link</v>
      </c>
      <c r="E483" s="2">
        <v>256.16800000000001</v>
      </c>
      <c r="F483" s="3">
        <v>16</v>
      </c>
      <c r="G483" t="s">
        <v>29</v>
      </c>
      <c r="H483" t="s">
        <v>471</v>
      </c>
      <c r="I483">
        <v>34.1</v>
      </c>
      <c r="J483" s="3">
        <v>82</v>
      </c>
      <c r="K483" t="s">
        <v>1462</v>
      </c>
      <c r="L483" t="s">
        <v>1463</v>
      </c>
      <c r="M483" s="4">
        <v>0.55000000000000004</v>
      </c>
      <c r="N483" s="4">
        <v>0.55000000000000004</v>
      </c>
    </row>
    <row r="484" spans="1:14" x14ac:dyDescent="0.4">
      <c r="A484">
        <v>483</v>
      </c>
      <c r="B484">
        <v>2011</v>
      </c>
      <c r="C484" t="s">
        <v>1464</v>
      </c>
      <c r="D484" t="str">
        <f>HYPERLINK("https://ota.tournamentsoftware.com/player-profile/F5386E8B-67D3-4718-9437-593920D3A938", "Link")</f>
        <v>Link</v>
      </c>
      <c r="E484" s="2">
        <v>255.626</v>
      </c>
      <c r="F484" s="3">
        <v>8</v>
      </c>
      <c r="G484" t="s">
        <v>29</v>
      </c>
      <c r="H484" t="s">
        <v>1078</v>
      </c>
      <c r="I484">
        <v>32.799999999999997</v>
      </c>
      <c r="J484" s="3">
        <v>88</v>
      </c>
      <c r="K484" t="s">
        <v>1465</v>
      </c>
      <c r="L484" t="s">
        <v>932</v>
      </c>
      <c r="M484" s="4">
        <v>0.42</v>
      </c>
      <c r="N484" s="4">
        <v>0.3</v>
      </c>
    </row>
    <row r="485" spans="1:14" x14ac:dyDescent="0.4">
      <c r="A485">
        <v>484</v>
      </c>
      <c r="B485">
        <v>2012</v>
      </c>
      <c r="C485" t="s">
        <v>1466</v>
      </c>
      <c r="D485" t="str">
        <f>HYPERLINK("https://ota.tournamentsoftware.com/player-profile/D585FC7E-ABD0-44A4-A0AC-539E39880B84", "Link")</f>
        <v>Link</v>
      </c>
      <c r="E485" s="2">
        <v>255.56</v>
      </c>
      <c r="F485" s="3">
        <v>12</v>
      </c>
      <c r="G485" t="s">
        <v>29</v>
      </c>
      <c r="H485" t="s">
        <v>1068</v>
      </c>
      <c r="I485">
        <v>32.799999999999997</v>
      </c>
      <c r="J485" s="3">
        <v>70</v>
      </c>
      <c r="K485" t="s">
        <v>1467</v>
      </c>
      <c r="L485" t="s">
        <v>1468</v>
      </c>
      <c r="M485" s="4">
        <v>0.49</v>
      </c>
      <c r="N485" s="4">
        <v>0.59</v>
      </c>
    </row>
    <row r="486" spans="1:14" x14ac:dyDescent="0.4">
      <c r="A486">
        <v>485</v>
      </c>
      <c r="B486">
        <v>2012</v>
      </c>
      <c r="C486" t="s">
        <v>1469</v>
      </c>
      <c r="D486" t="str">
        <f>HYPERLINK("https://ota.tournamentsoftware.com/player-profile/9F51CCE2-07F1-48BF-B635-CE7622769243", "Link")</f>
        <v>Link</v>
      </c>
      <c r="E486" s="2">
        <v>254.244</v>
      </c>
      <c r="F486" s="3">
        <v>11</v>
      </c>
      <c r="G486" t="s">
        <v>29</v>
      </c>
      <c r="H486" t="s">
        <v>1470</v>
      </c>
      <c r="I486" t="s">
        <v>48</v>
      </c>
      <c r="J486" s="3">
        <v>58</v>
      </c>
      <c r="K486" t="s">
        <v>1471</v>
      </c>
      <c r="L486" t="s">
        <v>543</v>
      </c>
      <c r="M486" s="4">
        <v>0.47</v>
      </c>
      <c r="N486" s="4">
        <v>0.5</v>
      </c>
    </row>
    <row r="487" spans="1:14" x14ac:dyDescent="0.4">
      <c r="A487">
        <v>486</v>
      </c>
      <c r="B487">
        <v>2015</v>
      </c>
      <c r="C487" t="s">
        <v>1472</v>
      </c>
      <c r="D487" t="str">
        <f>HYPERLINK("https://ota.tournamentsoftware.com/player-profile/6611C50A-5A2F-4DF7-B99B-97DD644D2C2A", "Link")</f>
        <v>Link</v>
      </c>
      <c r="E487" s="2">
        <v>251.00899999999999</v>
      </c>
      <c r="F487" s="3">
        <v>17</v>
      </c>
      <c r="G487" t="s">
        <v>29</v>
      </c>
      <c r="H487" t="s">
        <v>1118</v>
      </c>
      <c r="I487">
        <v>34.9</v>
      </c>
      <c r="J487" s="3">
        <v>92</v>
      </c>
      <c r="K487" t="s">
        <v>1008</v>
      </c>
      <c r="L487" t="s">
        <v>1473</v>
      </c>
      <c r="M487" s="4">
        <v>0.39</v>
      </c>
      <c r="N487" s="4">
        <v>0.49</v>
      </c>
    </row>
    <row r="488" spans="1:14" x14ac:dyDescent="0.4">
      <c r="A488">
        <v>487</v>
      </c>
      <c r="B488">
        <v>2012</v>
      </c>
      <c r="C488" t="s">
        <v>1474</v>
      </c>
      <c r="D488" t="str">
        <f>HYPERLINK("https://ota.tournamentsoftware.com/player-profile/CA831513-6963-4556-B8FD-4D148748EB19", "Link")</f>
        <v>Link</v>
      </c>
      <c r="E488" s="2">
        <v>250.42099999999999</v>
      </c>
      <c r="F488" s="3">
        <v>17</v>
      </c>
      <c r="G488" t="s">
        <v>29</v>
      </c>
      <c r="H488" t="s">
        <v>103</v>
      </c>
      <c r="I488">
        <v>32</v>
      </c>
      <c r="J488" s="3">
        <v>89</v>
      </c>
      <c r="K488" t="s">
        <v>1475</v>
      </c>
      <c r="L488" t="s">
        <v>1476</v>
      </c>
      <c r="M488" s="4">
        <v>0.44</v>
      </c>
      <c r="N488" s="4">
        <v>0.35</v>
      </c>
    </row>
    <row r="489" spans="1:14" x14ac:dyDescent="0.4">
      <c r="A489">
        <v>488</v>
      </c>
      <c r="B489">
        <v>2015</v>
      </c>
      <c r="C489" t="s">
        <v>1477</v>
      </c>
      <c r="D489" t="str">
        <f>HYPERLINK("https://ota.tournamentsoftware.com/player-profile/8D683600-A107-430B-BBAA-BD98BDCE0FD8", "Link")</f>
        <v>Link</v>
      </c>
      <c r="E489" s="2">
        <v>250.10300000000001</v>
      </c>
      <c r="F489" s="3">
        <v>13</v>
      </c>
      <c r="G489" t="s">
        <v>29</v>
      </c>
      <c r="H489" t="s">
        <v>916</v>
      </c>
      <c r="I489">
        <v>30.6</v>
      </c>
      <c r="J489" s="3">
        <v>70</v>
      </c>
      <c r="K489" t="s">
        <v>1478</v>
      </c>
      <c r="L489" t="s">
        <v>1479</v>
      </c>
      <c r="M489" s="4">
        <v>0.66</v>
      </c>
      <c r="N489" s="4">
        <v>0.79</v>
      </c>
    </row>
    <row r="490" spans="1:14" x14ac:dyDescent="0.4">
      <c r="A490">
        <v>489</v>
      </c>
      <c r="B490">
        <v>2014</v>
      </c>
      <c r="C490" t="s">
        <v>1480</v>
      </c>
      <c r="D490" t="str">
        <f>HYPERLINK("https://ota.tournamentsoftware.com/player-profile/E1635D80-45C0-4A06-8270-280699032897", "Link")</f>
        <v>Link</v>
      </c>
      <c r="E490" s="2">
        <v>249.285</v>
      </c>
      <c r="F490" s="3">
        <v>22</v>
      </c>
      <c r="G490" t="s">
        <v>25</v>
      </c>
      <c r="H490" t="s">
        <v>289</v>
      </c>
      <c r="I490">
        <v>33</v>
      </c>
      <c r="J490" s="3">
        <v>160</v>
      </c>
      <c r="K490" t="s">
        <v>1481</v>
      </c>
      <c r="L490" t="s">
        <v>553</v>
      </c>
      <c r="M490" s="4">
        <v>0.51</v>
      </c>
      <c r="N490" s="4">
        <v>0.45</v>
      </c>
    </row>
    <row r="491" spans="1:14" x14ac:dyDescent="0.4">
      <c r="A491">
        <v>490</v>
      </c>
      <c r="B491">
        <v>2013</v>
      </c>
      <c r="C491" t="s">
        <v>1482</v>
      </c>
      <c r="D491" t="str">
        <f>HYPERLINK("https://ota.tournamentsoftware.com/player-profile/CBAE609B-7C8B-4EA5-976F-0F6C1089D79C", "Link")</f>
        <v>Link</v>
      </c>
      <c r="E491" s="2">
        <v>248</v>
      </c>
      <c r="F491" s="3">
        <v>1</v>
      </c>
      <c r="G491" t="s">
        <v>29</v>
      </c>
      <c r="H491" t="s">
        <v>484</v>
      </c>
      <c r="I491">
        <v>24</v>
      </c>
      <c r="J491" s="3">
        <v>73</v>
      </c>
      <c r="K491" t="s">
        <v>1483</v>
      </c>
      <c r="L491" t="s">
        <v>31</v>
      </c>
      <c r="M491" s="4">
        <v>0.74</v>
      </c>
      <c r="N491" s="4">
        <v>0</v>
      </c>
    </row>
    <row r="492" spans="1:14" x14ac:dyDescent="0.4">
      <c r="A492">
        <v>491</v>
      </c>
      <c r="B492">
        <v>2014</v>
      </c>
      <c r="C492" t="s">
        <v>1484</v>
      </c>
      <c r="D492" t="str">
        <f>HYPERLINK("https://ota.tournamentsoftware.com/player-profile/041B9415-6EB0-452F-AD3F-EA68CADBA2FB", "Link")</f>
        <v>Link</v>
      </c>
      <c r="E492" s="2">
        <v>247.99199999999999</v>
      </c>
      <c r="F492" s="3">
        <v>19</v>
      </c>
      <c r="G492" t="s">
        <v>25</v>
      </c>
      <c r="H492" t="s">
        <v>60</v>
      </c>
      <c r="I492">
        <v>32.799999999999997</v>
      </c>
      <c r="J492" s="3">
        <v>187</v>
      </c>
      <c r="K492" t="s">
        <v>1485</v>
      </c>
      <c r="L492" t="s">
        <v>768</v>
      </c>
      <c r="M492" s="4">
        <v>0.44</v>
      </c>
      <c r="N492" s="4">
        <v>0.39</v>
      </c>
    </row>
    <row r="493" spans="1:14" x14ac:dyDescent="0.4">
      <c r="A493">
        <v>492</v>
      </c>
      <c r="B493">
        <v>2011</v>
      </c>
      <c r="C493" t="s">
        <v>1486</v>
      </c>
      <c r="D493" t="str">
        <f>HYPERLINK("https://ota.tournamentsoftware.com/player-profile/DD9D7430-6838-4159-A066-184608E7EB49", "Link")</f>
        <v>Link</v>
      </c>
      <c r="E493" s="2">
        <v>245.25800000000001</v>
      </c>
      <c r="F493" s="3">
        <v>5</v>
      </c>
      <c r="G493" t="s">
        <v>29</v>
      </c>
      <c r="H493" t="s">
        <v>532</v>
      </c>
      <c r="I493">
        <v>30.3</v>
      </c>
      <c r="J493" s="3">
        <v>23</v>
      </c>
      <c r="K493" t="s">
        <v>1487</v>
      </c>
      <c r="L493" t="s">
        <v>1303</v>
      </c>
      <c r="M493" s="4">
        <v>0.3</v>
      </c>
      <c r="N493" s="4">
        <v>0.14000000000000001</v>
      </c>
    </row>
    <row r="494" spans="1:14" x14ac:dyDescent="0.4">
      <c r="A494">
        <v>493</v>
      </c>
      <c r="B494">
        <v>2013</v>
      </c>
      <c r="C494" t="s">
        <v>1488</v>
      </c>
      <c r="D494" t="str">
        <f>HYPERLINK("https://ota.tournamentsoftware.com/player-profile/CF808414-C0CE-4B07-9667-D3EE492D6BCE", "Link")</f>
        <v>Link</v>
      </c>
      <c r="E494" s="2">
        <v>245.24</v>
      </c>
      <c r="F494" s="3">
        <v>12</v>
      </c>
      <c r="G494" t="s">
        <v>25</v>
      </c>
      <c r="H494" t="s">
        <v>1489</v>
      </c>
      <c r="I494">
        <v>31.4</v>
      </c>
      <c r="J494" s="3">
        <v>216</v>
      </c>
      <c r="K494" t="s">
        <v>1490</v>
      </c>
      <c r="L494" t="s">
        <v>1491</v>
      </c>
      <c r="M494" s="4">
        <v>0.51</v>
      </c>
      <c r="N494" s="4">
        <v>0.65</v>
      </c>
    </row>
    <row r="495" spans="1:14" x14ac:dyDescent="0.4">
      <c r="A495">
        <v>494</v>
      </c>
      <c r="B495">
        <v>2014</v>
      </c>
      <c r="C495" t="s">
        <v>1492</v>
      </c>
      <c r="D495" t="str">
        <f>HYPERLINK("https://ota.tournamentsoftware.com/player-profile/9A590660-3C23-4CD7-A9AF-30CC3227EC17", "Link")</f>
        <v>Link</v>
      </c>
      <c r="E495" s="2">
        <v>245.12799999999999</v>
      </c>
      <c r="F495" s="3">
        <v>13</v>
      </c>
      <c r="G495" t="s">
        <v>25</v>
      </c>
      <c r="H495" t="s">
        <v>95</v>
      </c>
      <c r="I495">
        <v>34.5</v>
      </c>
      <c r="J495" s="3">
        <v>85</v>
      </c>
      <c r="K495" t="s">
        <v>1493</v>
      </c>
      <c r="L495" t="s">
        <v>83</v>
      </c>
      <c r="M495" s="4">
        <v>0.36</v>
      </c>
      <c r="N495" s="4">
        <v>0.53</v>
      </c>
    </row>
    <row r="496" spans="1:14" x14ac:dyDescent="0.4">
      <c r="A496">
        <v>495</v>
      </c>
      <c r="B496">
        <v>2012</v>
      </c>
      <c r="C496" t="s">
        <v>1494</v>
      </c>
      <c r="D496" t="str">
        <f>HYPERLINK("https://ota.tournamentsoftware.com/player-profile/D3858E79-6F6D-42C3-B497-74590CD50165", "Link")</f>
        <v>Link</v>
      </c>
      <c r="E496" s="2">
        <v>242.786</v>
      </c>
      <c r="F496" s="3">
        <v>9</v>
      </c>
      <c r="G496" t="s">
        <v>20</v>
      </c>
      <c r="H496" t="s">
        <v>21</v>
      </c>
      <c r="I496">
        <v>33.799999999999997</v>
      </c>
      <c r="J496" s="3">
        <v>122</v>
      </c>
      <c r="K496" t="s">
        <v>1495</v>
      </c>
      <c r="L496" t="s">
        <v>734</v>
      </c>
      <c r="M496" s="4">
        <v>0.27</v>
      </c>
      <c r="N496" s="4">
        <v>0.08</v>
      </c>
    </row>
    <row r="497" spans="1:14" x14ac:dyDescent="0.4">
      <c r="A497">
        <v>496</v>
      </c>
      <c r="B497">
        <v>2010</v>
      </c>
      <c r="C497" t="s">
        <v>1496</v>
      </c>
      <c r="D497" t="str">
        <f>HYPERLINK("https://ota.tournamentsoftware.com/player-profile/00D477FA-354E-442B-AD9C-888BE35D7483", "Link")</f>
        <v>Link</v>
      </c>
      <c r="E497" s="2">
        <v>242.77600000000001</v>
      </c>
      <c r="F497" s="3">
        <v>2</v>
      </c>
      <c r="G497" t="s">
        <v>25</v>
      </c>
      <c r="H497" t="s">
        <v>1497</v>
      </c>
      <c r="I497" t="s">
        <v>48</v>
      </c>
      <c r="J497" s="3">
        <v>97</v>
      </c>
      <c r="K497" t="s">
        <v>1498</v>
      </c>
      <c r="L497" t="s">
        <v>1284</v>
      </c>
      <c r="M497" s="4">
        <v>0.1</v>
      </c>
      <c r="N497" s="4">
        <v>0.33</v>
      </c>
    </row>
    <row r="498" spans="1:14" x14ac:dyDescent="0.4">
      <c r="A498">
        <v>497</v>
      </c>
      <c r="B498">
        <v>2012</v>
      </c>
      <c r="C498" t="s">
        <v>1499</v>
      </c>
      <c r="D498" t="str">
        <f>HYPERLINK("https://ota.tournamentsoftware.com/player-profile/50FA5AE5-9557-483C-94FB-05937E25C837", "Link")</f>
        <v>Link</v>
      </c>
      <c r="E498" s="2">
        <v>241.101</v>
      </c>
      <c r="F498" s="3">
        <v>10</v>
      </c>
      <c r="G498" t="s">
        <v>29</v>
      </c>
      <c r="H498" t="s">
        <v>103</v>
      </c>
      <c r="I498">
        <v>36.9</v>
      </c>
      <c r="J498" s="3">
        <v>55</v>
      </c>
      <c r="K498" t="s">
        <v>1500</v>
      </c>
      <c r="L498" t="s">
        <v>1501</v>
      </c>
      <c r="M498" s="4">
        <v>0.22</v>
      </c>
      <c r="N498" s="4">
        <v>0.27</v>
      </c>
    </row>
    <row r="499" spans="1:14" x14ac:dyDescent="0.4">
      <c r="A499">
        <v>498</v>
      </c>
      <c r="B499">
        <v>2015</v>
      </c>
      <c r="C499" t="s">
        <v>1502</v>
      </c>
      <c r="D499" t="str">
        <f>HYPERLINK("https://ota.tournamentsoftware.com/player-profile/2D89D481-D621-43AF-8792-3F0114FE4D77", "Link")</f>
        <v>Link</v>
      </c>
      <c r="E499" s="2">
        <v>238.244</v>
      </c>
      <c r="F499" s="3">
        <v>20</v>
      </c>
      <c r="G499" t="s">
        <v>109</v>
      </c>
      <c r="H499" t="s">
        <v>387</v>
      </c>
      <c r="I499">
        <v>31</v>
      </c>
      <c r="J499" s="3">
        <v>147</v>
      </c>
      <c r="K499" t="s">
        <v>968</v>
      </c>
      <c r="L499" t="s">
        <v>115</v>
      </c>
      <c r="M499" s="4">
        <v>0.68</v>
      </c>
      <c r="N499" s="4">
        <v>0.63</v>
      </c>
    </row>
    <row r="500" spans="1:14" x14ac:dyDescent="0.4">
      <c r="A500">
        <v>499</v>
      </c>
      <c r="B500">
        <v>2012</v>
      </c>
      <c r="C500" t="s">
        <v>1503</v>
      </c>
      <c r="D500" t="str">
        <f>HYPERLINK("https://ota.tournamentsoftware.com/player-profile/29A07F50-E6F3-4FFE-84BF-31DB048552D6", "Link")</f>
        <v>Link</v>
      </c>
      <c r="E500" s="2">
        <v>238.15799999999999</v>
      </c>
      <c r="F500" s="3">
        <v>22</v>
      </c>
      <c r="G500" t="s">
        <v>25</v>
      </c>
      <c r="H500" t="s">
        <v>85</v>
      </c>
      <c r="I500">
        <v>34.799999999999997</v>
      </c>
      <c r="J500" s="3">
        <v>169</v>
      </c>
      <c r="K500" t="s">
        <v>1504</v>
      </c>
      <c r="L500" t="s">
        <v>921</v>
      </c>
      <c r="M500" s="4">
        <v>0.34</v>
      </c>
      <c r="N500" s="4">
        <v>0.15</v>
      </c>
    </row>
    <row r="501" spans="1:14" x14ac:dyDescent="0.4">
      <c r="A501">
        <v>500</v>
      </c>
      <c r="B501">
        <v>2015</v>
      </c>
      <c r="C501" t="s">
        <v>1505</v>
      </c>
      <c r="D501" t="str">
        <f>HYPERLINK("https://ota.tournamentsoftware.com/player-profile/55FD2B42-2961-45DA-8250-9ECCED0E6566", "Link")</f>
        <v>Link</v>
      </c>
      <c r="E501" s="2">
        <v>236.517</v>
      </c>
      <c r="F501" s="3">
        <v>23</v>
      </c>
      <c r="G501" t="s">
        <v>25</v>
      </c>
      <c r="H501" t="s">
        <v>311</v>
      </c>
      <c r="I501">
        <v>32</v>
      </c>
      <c r="J501" s="3">
        <v>176</v>
      </c>
      <c r="K501" t="s">
        <v>1506</v>
      </c>
      <c r="L501" t="s">
        <v>97</v>
      </c>
      <c r="M501" s="4">
        <v>0.53</v>
      </c>
      <c r="N501" s="4">
        <v>0.55000000000000004</v>
      </c>
    </row>
    <row r="502" spans="1:14" x14ac:dyDescent="0.4">
      <c r="A502">
        <v>501</v>
      </c>
      <c r="B502">
        <v>2011</v>
      </c>
      <c r="C502" t="s">
        <v>1507</v>
      </c>
      <c r="D502" t="str">
        <f>HYPERLINK("https://ota.tournamentsoftware.com/player-profile/D845DA9D-7D91-49B1-A855-8B34E10F577C", "Link")</f>
        <v>Link</v>
      </c>
      <c r="E502" s="2">
        <v>236.261</v>
      </c>
      <c r="F502" s="3">
        <v>5</v>
      </c>
      <c r="G502" t="s">
        <v>20</v>
      </c>
      <c r="H502" t="s">
        <v>33</v>
      </c>
      <c r="I502">
        <v>26.9</v>
      </c>
      <c r="J502" s="3">
        <v>201</v>
      </c>
      <c r="K502" t="s">
        <v>1508</v>
      </c>
      <c r="L502" t="s">
        <v>1243</v>
      </c>
      <c r="M502" s="4">
        <v>0.57999999999999996</v>
      </c>
      <c r="N502" s="4">
        <v>0.4</v>
      </c>
    </row>
    <row r="503" spans="1:14" x14ac:dyDescent="0.4">
      <c r="A503">
        <v>502</v>
      </c>
      <c r="B503">
        <v>2014</v>
      </c>
      <c r="C503" t="s">
        <v>1509</v>
      </c>
      <c r="D503" t="str">
        <f>HYPERLINK("https://ota.tournamentsoftware.com/player-profile/D7699338-4FE5-4F30-9A7D-8E14842C2A9B", "Link")</f>
        <v>Link</v>
      </c>
      <c r="E503" s="2">
        <v>235.81299999999999</v>
      </c>
      <c r="F503" s="3">
        <v>8</v>
      </c>
      <c r="G503" t="s">
        <v>173</v>
      </c>
      <c r="H503" t="s">
        <v>174</v>
      </c>
      <c r="I503">
        <v>36.1</v>
      </c>
      <c r="J503" s="3">
        <v>110</v>
      </c>
      <c r="K503" t="s">
        <v>1510</v>
      </c>
      <c r="L503" t="s">
        <v>972</v>
      </c>
      <c r="M503" s="4">
        <v>0.42</v>
      </c>
      <c r="N503" s="4">
        <v>0.4</v>
      </c>
    </row>
    <row r="504" spans="1:14" x14ac:dyDescent="0.4">
      <c r="A504">
        <v>503</v>
      </c>
      <c r="B504">
        <v>2015</v>
      </c>
      <c r="C504" t="s">
        <v>1511</v>
      </c>
      <c r="D504" t="str">
        <f>HYPERLINK("https://ota.tournamentsoftware.com/player-profile/91C9A734-3E6E-45CC-B46D-51BF9C9A7FC4", "Link")</f>
        <v>Link</v>
      </c>
      <c r="E504" s="2">
        <v>235.18299999999999</v>
      </c>
      <c r="F504" s="3">
        <v>18</v>
      </c>
      <c r="G504" t="s">
        <v>25</v>
      </c>
      <c r="H504" t="s">
        <v>99</v>
      </c>
      <c r="I504">
        <v>31.5</v>
      </c>
      <c r="J504" s="3">
        <v>162</v>
      </c>
      <c r="K504" t="s">
        <v>1512</v>
      </c>
      <c r="L504" t="s">
        <v>1513</v>
      </c>
      <c r="M504" s="4">
        <v>0.49</v>
      </c>
      <c r="N504" s="4">
        <v>0.65</v>
      </c>
    </row>
    <row r="505" spans="1:14" x14ac:dyDescent="0.4">
      <c r="A505">
        <v>504</v>
      </c>
      <c r="B505">
        <v>2013</v>
      </c>
      <c r="C505" t="s">
        <v>1514</v>
      </c>
      <c r="D505" t="str">
        <f>HYPERLINK("https://ota.tournamentsoftware.com/player-profile/114D9BCA-C6DA-49E0-9F64-5FB54E5B0E3E", "Link")</f>
        <v>Link</v>
      </c>
      <c r="E505" s="2">
        <v>234.934</v>
      </c>
      <c r="F505" s="3">
        <v>16</v>
      </c>
      <c r="G505" t="s">
        <v>20</v>
      </c>
      <c r="H505" t="s">
        <v>43</v>
      </c>
      <c r="I505">
        <v>32.5</v>
      </c>
      <c r="J505" s="3">
        <v>192</v>
      </c>
      <c r="K505" t="s">
        <v>1515</v>
      </c>
      <c r="L505" t="s">
        <v>530</v>
      </c>
      <c r="M505" s="4">
        <v>0.44</v>
      </c>
      <c r="N505" s="4">
        <v>0.56999999999999995</v>
      </c>
    </row>
    <row r="506" spans="1:14" x14ac:dyDescent="0.4">
      <c r="A506">
        <v>505</v>
      </c>
      <c r="B506">
        <v>2016</v>
      </c>
      <c r="C506" t="s">
        <v>1516</v>
      </c>
      <c r="D506" t="str">
        <f>HYPERLINK("https://ota.tournamentsoftware.com/player-profile/A391B4A7-44C6-4D9F-9A04-161A8B22E0C3", "Link")</f>
        <v>Link</v>
      </c>
      <c r="E506" s="2">
        <v>234.27699999999999</v>
      </c>
      <c r="F506" s="3">
        <v>16</v>
      </c>
      <c r="G506" t="s">
        <v>29</v>
      </c>
      <c r="H506" t="s">
        <v>1435</v>
      </c>
      <c r="I506">
        <v>31.8</v>
      </c>
      <c r="J506" s="3">
        <v>117</v>
      </c>
      <c r="K506" t="s">
        <v>1517</v>
      </c>
      <c r="L506" t="s">
        <v>1518</v>
      </c>
      <c r="M506" s="4">
        <v>0.77</v>
      </c>
      <c r="N506" s="4">
        <v>0.79</v>
      </c>
    </row>
    <row r="507" spans="1:14" x14ac:dyDescent="0.4">
      <c r="A507">
        <v>506</v>
      </c>
      <c r="B507">
        <v>2015</v>
      </c>
      <c r="C507" t="s">
        <v>1519</v>
      </c>
      <c r="D507" t="str">
        <f>HYPERLINK("https://ota.tournamentsoftware.com/player-profile/8EA584DE-3986-4803-A3AA-F96230F853A7", "Link")</f>
        <v>Link</v>
      </c>
      <c r="E507" s="2">
        <v>233.33</v>
      </c>
      <c r="F507" s="3">
        <v>18</v>
      </c>
      <c r="G507" t="s">
        <v>29</v>
      </c>
      <c r="H507" t="s">
        <v>199</v>
      </c>
      <c r="I507">
        <v>34.200000000000003</v>
      </c>
      <c r="J507" s="3">
        <v>215</v>
      </c>
      <c r="K507" t="s">
        <v>1520</v>
      </c>
      <c r="L507" t="s">
        <v>543</v>
      </c>
      <c r="M507" s="4">
        <v>0.61</v>
      </c>
      <c r="N507" s="4">
        <v>0.5</v>
      </c>
    </row>
    <row r="508" spans="1:14" x14ac:dyDescent="0.4">
      <c r="A508">
        <v>507</v>
      </c>
      <c r="B508">
        <v>2011</v>
      </c>
      <c r="C508" t="s">
        <v>1521</v>
      </c>
      <c r="D508" t="str">
        <f>HYPERLINK("https://ota.tournamentsoftware.com/player-profile/BDF290C1-948D-4073-BE42-7DDAE33CE6E7", "Link")</f>
        <v>Link</v>
      </c>
      <c r="E508" s="2">
        <v>233.202</v>
      </c>
      <c r="F508" s="3">
        <v>4</v>
      </c>
      <c r="G508" t="s">
        <v>29</v>
      </c>
      <c r="H508" t="s">
        <v>1522</v>
      </c>
      <c r="I508">
        <v>39.299999999999997</v>
      </c>
      <c r="J508" s="3">
        <v>12</v>
      </c>
      <c r="K508" t="s">
        <v>1523</v>
      </c>
      <c r="L508" t="s">
        <v>1524</v>
      </c>
      <c r="M508" s="4">
        <v>0</v>
      </c>
      <c r="N508" s="4">
        <v>0</v>
      </c>
    </row>
    <row r="509" spans="1:14" x14ac:dyDescent="0.4">
      <c r="A509">
        <v>508</v>
      </c>
      <c r="B509">
        <v>2011</v>
      </c>
      <c r="C509" t="s">
        <v>1525</v>
      </c>
      <c r="D509" t="str">
        <f>HYPERLINK("https://ota.tournamentsoftware.com/player-profile/D2E29D6D-0368-4888-9CD8-04CBBA5F5700", "Link")</f>
        <v>Link</v>
      </c>
      <c r="E509" s="2">
        <v>233.143</v>
      </c>
      <c r="F509" s="3">
        <v>6</v>
      </c>
      <c r="G509" t="s">
        <v>29</v>
      </c>
      <c r="H509" t="s">
        <v>458</v>
      </c>
      <c r="I509">
        <v>39.299999999999997</v>
      </c>
      <c r="J509" s="3">
        <v>7</v>
      </c>
      <c r="K509" t="s">
        <v>1526</v>
      </c>
      <c r="L509" t="s">
        <v>1526</v>
      </c>
      <c r="M509" s="4">
        <v>0</v>
      </c>
      <c r="N509" s="4">
        <v>0</v>
      </c>
    </row>
    <row r="510" spans="1:14" x14ac:dyDescent="0.4">
      <c r="A510">
        <v>509</v>
      </c>
      <c r="B510">
        <v>2013</v>
      </c>
      <c r="C510" t="s">
        <v>1527</v>
      </c>
      <c r="D510" t="str">
        <f>HYPERLINK("https://ota.tournamentsoftware.com/player-profile/A9D6CF45-A7F1-427F-A376-2C40852D98CD", "Link")</f>
        <v>Link</v>
      </c>
      <c r="E510" s="2">
        <v>232.19499999999999</v>
      </c>
      <c r="F510" s="3">
        <v>17</v>
      </c>
      <c r="G510" t="s">
        <v>29</v>
      </c>
      <c r="H510" t="s">
        <v>1528</v>
      </c>
      <c r="I510">
        <v>32.700000000000003</v>
      </c>
      <c r="J510" s="3">
        <v>103</v>
      </c>
      <c r="K510" t="s">
        <v>1529</v>
      </c>
      <c r="L510" t="s">
        <v>979</v>
      </c>
      <c r="M510" s="4">
        <v>0.49</v>
      </c>
      <c r="N510" s="4">
        <v>0.54</v>
      </c>
    </row>
    <row r="511" spans="1:14" x14ac:dyDescent="0.4">
      <c r="A511">
        <v>510</v>
      </c>
      <c r="B511">
        <v>2010</v>
      </c>
      <c r="C511" t="s">
        <v>1530</v>
      </c>
      <c r="D511" t="str">
        <f>HYPERLINK("https://ota.tournamentsoftware.com/player-profile/E4536387-3C0A-4BC2-A7B5-1FE17CAB9C1B", "Link")</f>
        <v>Link</v>
      </c>
      <c r="E511" s="2">
        <v>231.86099999999999</v>
      </c>
      <c r="F511" s="3">
        <v>6</v>
      </c>
      <c r="G511" t="s">
        <v>20</v>
      </c>
      <c r="H511" t="s">
        <v>1531</v>
      </c>
      <c r="I511">
        <v>36.1</v>
      </c>
      <c r="J511" s="3">
        <v>12</v>
      </c>
      <c r="K511" t="s">
        <v>730</v>
      </c>
      <c r="L511" t="s">
        <v>1501</v>
      </c>
      <c r="M511" s="4">
        <v>0.25</v>
      </c>
      <c r="N511" s="4">
        <v>0.27</v>
      </c>
    </row>
    <row r="512" spans="1:14" x14ac:dyDescent="0.4">
      <c r="A512">
        <v>511</v>
      </c>
      <c r="B512">
        <v>2011</v>
      </c>
      <c r="C512" t="s">
        <v>1532</v>
      </c>
      <c r="D512" t="str">
        <f>HYPERLINK("https://ota.tournamentsoftware.com/player-profile/A3EE8639-F508-4887-AE9F-BF1745088002", "Link")</f>
        <v>Link</v>
      </c>
      <c r="E512" s="2">
        <v>231.80099999999999</v>
      </c>
      <c r="F512" s="3">
        <v>13</v>
      </c>
      <c r="G512" t="s">
        <v>109</v>
      </c>
      <c r="H512" t="s">
        <v>110</v>
      </c>
      <c r="I512">
        <v>30.5</v>
      </c>
      <c r="J512" s="3">
        <v>169</v>
      </c>
      <c r="K512" t="s">
        <v>1533</v>
      </c>
      <c r="L512" t="s">
        <v>1416</v>
      </c>
      <c r="M512" s="4">
        <v>0.47</v>
      </c>
      <c r="N512" s="4">
        <v>0.42</v>
      </c>
    </row>
    <row r="513" spans="1:14" x14ac:dyDescent="0.4">
      <c r="A513">
        <v>512</v>
      </c>
      <c r="B513">
        <v>2012</v>
      </c>
      <c r="C513" t="s">
        <v>1534</v>
      </c>
      <c r="D513" t="str">
        <f>HYPERLINK("https://ota.tournamentsoftware.com/player-profile/BC349487-CEB9-4CB8-ABCF-1006DD0F69AA", "Link")</f>
        <v>Link</v>
      </c>
      <c r="E513" s="2">
        <v>231.773</v>
      </c>
      <c r="F513" s="3">
        <v>21</v>
      </c>
      <c r="G513" t="s">
        <v>25</v>
      </c>
      <c r="H513" t="s">
        <v>85</v>
      </c>
      <c r="I513">
        <v>32.6</v>
      </c>
      <c r="J513" s="3">
        <v>141</v>
      </c>
      <c r="K513" t="s">
        <v>1535</v>
      </c>
      <c r="L513" t="s">
        <v>1536</v>
      </c>
      <c r="M513" s="4">
        <v>0.41</v>
      </c>
      <c r="N513" s="4">
        <v>0.44</v>
      </c>
    </row>
    <row r="514" spans="1:14" x14ac:dyDescent="0.4">
      <c r="A514">
        <v>513</v>
      </c>
      <c r="B514">
        <v>2015</v>
      </c>
      <c r="C514" t="s">
        <v>1537</v>
      </c>
      <c r="D514" t="str">
        <f>HYPERLINK("https://ota.tournamentsoftware.com/player-profile/811C2EA5-51E7-4FDE-BF82-1DF3D9D0AD27", "Link")</f>
        <v>Link</v>
      </c>
      <c r="E514" s="2">
        <v>231.661</v>
      </c>
      <c r="F514" s="3">
        <v>39</v>
      </c>
      <c r="G514" t="s">
        <v>29</v>
      </c>
      <c r="H514" t="s">
        <v>1470</v>
      </c>
      <c r="I514">
        <v>35.9</v>
      </c>
      <c r="J514" s="3">
        <v>142</v>
      </c>
      <c r="K514" t="s">
        <v>1538</v>
      </c>
      <c r="L514" t="s">
        <v>1539</v>
      </c>
      <c r="M514" s="4">
        <v>0.45</v>
      </c>
      <c r="N514" s="4">
        <v>0.33</v>
      </c>
    </row>
    <row r="515" spans="1:14" x14ac:dyDescent="0.4">
      <c r="A515">
        <v>514</v>
      </c>
      <c r="B515">
        <v>2015</v>
      </c>
      <c r="C515" t="s">
        <v>1540</v>
      </c>
      <c r="D515" t="str">
        <f>HYPERLINK("https://ota.tournamentsoftware.com/player-profile/878918D3-5C76-4815-A98A-1D1A49BFC21F", "Link")</f>
        <v>Link</v>
      </c>
      <c r="E515" s="2">
        <v>231.26</v>
      </c>
      <c r="F515" s="3">
        <v>12</v>
      </c>
      <c r="G515" t="s">
        <v>20</v>
      </c>
      <c r="H515" t="s">
        <v>43</v>
      </c>
      <c r="I515">
        <v>30.8</v>
      </c>
      <c r="J515" s="3">
        <v>133</v>
      </c>
      <c r="K515" t="s">
        <v>1541</v>
      </c>
      <c r="L515" t="s">
        <v>319</v>
      </c>
      <c r="M515" s="4">
        <v>0.75</v>
      </c>
      <c r="N515" s="4">
        <v>0.72</v>
      </c>
    </row>
    <row r="516" spans="1:14" x14ac:dyDescent="0.4">
      <c r="A516">
        <v>515</v>
      </c>
      <c r="B516">
        <v>2014</v>
      </c>
      <c r="C516" t="s">
        <v>1542</v>
      </c>
      <c r="D516" t="str">
        <f>HYPERLINK("https://ota.tournamentsoftware.com/player-profile/2EEE6D95-1504-4E36-A996-F48A3CD7FC03", "Link")</f>
        <v>Link</v>
      </c>
      <c r="E516" s="2">
        <v>231.19300000000001</v>
      </c>
      <c r="F516" s="3">
        <v>16</v>
      </c>
      <c r="G516" t="s">
        <v>29</v>
      </c>
      <c r="H516" t="s">
        <v>145</v>
      </c>
      <c r="I516">
        <v>32.4</v>
      </c>
      <c r="J516" s="3">
        <v>91</v>
      </c>
      <c r="K516" t="s">
        <v>1543</v>
      </c>
      <c r="L516" t="s">
        <v>530</v>
      </c>
      <c r="M516" s="4">
        <v>0.44</v>
      </c>
      <c r="N516" s="4">
        <v>0.56999999999999995</v>
      </c>
    </row>
    <row r="517" spans="1:14" x14ac:dyDescent="0.4">
      <c r="A517">
        <v>516</v>
      </c>
      <c r="B517">
        <v>2014</v>
      </c>
      <c r="C517" t="s">
        <v>1544</v>
      </c>
      <c r="D517" t="str">
        <f>HYPERLINK("https://ota.tournamentsoftware.com/player-profile/6DB3D46F-3C74-400D-92A4-62CF55426936", "Link")</f>
        <v>Link</v>
      </c>
      <c r="E517" s="2">
        <v>230.59399999999999</v>
      </c>
      <c r="F517" s="3">
        <v>18</v>
      </c>
      <c r="G517" t="s">
        <v>29</v>
      </c>
      <c r="H517" t="s">
        <v>1545</v>
      </c>
      <c r="I517">
        <v>33.5</v>
      </c>
      <c r="J517" s="3">
        <v>176</v>
      </c>
      <c r="K517" t="s">
        <v>1546</v>
      </c>
      <c r="L517" t="s">
        <v>805</v>
      </c>
      <c r="M517" s="4">
        <v>0.28000000000000003</v>
      </c>
      <c r="N517" s="4">
        <v>0.53</v>
      </c>
    </row>
    <row r="518" spans="1:14" x14ac:dyDescent="0.4">
      <c r="A518">
        <v>517</v>
      </c>
      <c r="B518">
        <v>2014</v>
      </c>
      <c r="C518" t="s">
        <v>1547</v>
      </c>
      <c r="D518" t="str">
        <f>HYPERLINK("https://ota.tournamentsoftware.com/player-profile/3772BD57-A73E-4652-86C8-E1885FE20DCF", "Link")</f>
        <v>Link</v>
      </c>
      <c r="E518" s="2">
        <v>230.464</v>
      </c>
      <c r="F518" s="3">
        <v>18</v>
      </c>
      <c r="G518" t="s">
        <v>29</v>
      </c>
      <c r="H518" t="s">
        <v>1344</v>
      </c>
      <c r="I518">
        <v>33.1</v>
      </c>
      <c r="J518" s="3">
        <v>50</v>
      </c>
      <c r="K518" t="s">
        <v>396</v>
      </c>
      <c r="L518" t="s">
        <v>1174</v>
      </c>
      <c r="M518" s="4">
        <v>0.72</v>
      </c>
      <c r="N518" s="4">
        <v>0.56000000000000005</v>
      </c>
    </row>
    <row r="519" spans="1:14" x14ac:dyDescent="0.4">
      <c r="A519">
        <v>518</v>
      </c>
      <c r="B519">
        <v>2012</v>
      </c>
      <c r="C519" t="s">
        <v>1548</v>
      </c>
      <c r="D519" t="str">
        <f>HYPERLINK("https://ota.tournamentsoftware.com/player-profile/6F7B90A5-BECB-44C9-9B4E-74FED8443672", "Link")</f>
        <v>Link</v>
      </c>
      <c r="E519" s="2">
        <v>228.114</v>
      </c>
      <c r="F519" s="3">
        <v>20</v>
      </c>
      <c r="G519" t="s">
        <v>20</v>
      </c>
      <c r="H519" t="s">
        <v>296</v>
      </c>
      <c r="I519" t="s">
        <v>48</v>
      </c>
      <c r="J519" s="3">
        <v>169</v>
      </c>
      <c r="K519" t="s">
        <v>1549</v>
      </c>
      <c r="L519" t="s">
        <v>1550</v>
      </c>
      <c r="M519" s="4">
        <v>0.27</v>
      </c>
      <c r="N519" s="4">
        <v>0.31</v>
      </c>
    </row>
    <row r="520" spans="1:14" x14ac:dyDescent="0.4">
      <c r="A520">
        <v>519</v>
      </c>
      <c r="B520">
        <v>2012</v>
      </c>
      <c r="C520" t="s">
        <v>1551</v>
      </c>
      <c r="D520" t="str">
        <f>HYPERLINK("https://ota.tournamentsoftware.com/player-profile/5F710ADB-6059-4376-8917-220BAD95C9B2", "Link")</f>
        <v>Link</v>
      </c>
      <c r="E520" s="2">
        <v>228</v>
      </c>
      <c r="F520" s="3">
        <v>2</v>
      </c>
      <c r="G520" t="s">
        <v>29</v>
      </c>
      <c r="H520" t="s">
        <v>163</v>
      </c>
      <c r="I520">
        <v>21.8</v>
      </c>
      <c r="J520" s="3">
        <v>153</v>
      </c>
      <c r="K520" t="s">
        <v>1552</v>
      </c>
      <c r="L520" t="s">
        <v>54</v>
      </c>
      <c r="M520" s="4">
        <v>0.75</v>
      </c>
      <c r="N520" s="4">
        <v>1</v>
      </c>
    </row>
    <row r="521" spans="1:14" x14ac:dyDescent="0.4">
      <c r="A521">
        <v>520</v>
      </c>
      <c r="B521">
        <v>2012</v>
      </c>
      <c r="C521" t="s">
        <v>1553</v>
      </c>
      <c r="D521" t="str">
        <f>HYPERLINK("https://ota.tournamentsoftware.com/player-profile/0D5BD355-F71F-4A8A-B269-0D225B56C809", "Link")</f>
        <v>Link</v>
      </c>
      <c r="E521" s="2">
        <v>227.84800000000001</v>
      </c>
      <c r="F521" s="3">
        <v>9</v>
      </c>
      <c r="G521" t="s">
        <v>25</v>
      </c>
      <c r="H521" t="s">
        <v>431</v>
      </c>
      <c r="I521">
        <v>33.299999999999997</v>
      </c>
      <c r="J521" s="3">
        <v>21</v>
      </c>
      <c r="K521" t="s">
        <v>1211</v>
      </c>
      <c r="L521" t="s">
        <v>1554</v>
      </c>
      <c r="M521" s="4">
        <v>0.43</v>
      </c>
      <c r="N521" s="4">
        <v>0.33</v>
      </c>
    </row>
    <row r="522" spans="1:14" x14ac:dyDescent="0.4">
      <c r="A522">
        <v>521</v>
      </c>
      <c r="B522">
        <v>2010</v>
      </c>
      <c r="C522" t="s">
        <v>1555</v>
      </c>
      <c r="D522" t="str">
        <f>HYPERLINK("https://ota.tournamentsoftware.com/player-profile/E4C61EB1-8CB7-4DD3-A7CA-240D387D53D1", "Link")</f>
        <v>Link</v>
      </c>
      <c r="E522" s="2">
        <v>225.89099999999999</v>
      </c>
      <c r="F522" s="3">
        <v>1</v>
      </c>
      <c r="G522" t="s">
        <v>20</v>
      </c>
      <c r="H522" t="s">
        <v>919</v>
      </c>
      <c r="I522">
        <v>20.9</v>
      </c>
      <c r="J522" s="3">
        <v>266</v>
      </c>
      <c r="K522" t="s">
        <v>1556</v>
      </c>
      <c r="L522" t="s">
        <v>523</v>
      </c>
      <c r="M522" s="4">
        <v>0.52</v>
      </c>
      <c r="N522" s="4">
        <v>0.5</v>
      </c>
    </row>
    <row r="523" spans="1:14" x14ac:dyDescent="0.4">
      <c r="A523">
        <v>522</v>
      </c>
      <c r="B523">
        <v>2010</v>
      </c>
      <c r="C523" t="s">
        <v>1557</v>
      </c>
      <c r="D523" t="str">
        <f>HYPERLINK("https://ota.tournamentsoftware.com/player-profile/E6BE2DCF-17E9-4BA8-AECF-0FE12660DB9A", "Link")</f>
        <v>Link</v>
      </c>
      <c r="E523" s="2">
        <v>224.94200000000001</v>
      </c>
      <c r="F523" s="3">
        <v>6</v>
      </c>
      <c r="G523" t="s">
        <v>20</v>
      </c>
      <c r="H523" t="s">
        <v>226</v>
      </c>
      <c r="I523">
        <v>34.6</v>
      </c>
      <c r="J523" s="3">
        <v>107</v>
      </c>
      <c r="K523" t="s">
        <v>1558</v>
      </c>
      <c r="L523" t="s">
        <v>1526</v>
      </c>
      <c r="M523" s="4">
        <v>0.26</v>
      </c>
      <c r="N523" s="4">
        <v>0</v>
      </c>
    </row>
    <row r="524" spans="1:14" x14ac:dyDescent="0.4">
      <c r="A524">
        <v>523</v>
      </c>
      <c r="B524">
        <v>2015</v>
      </c>
      <c r="C524" t="s">
        <v>1559</v>
      </c>
      <c r="D524" t="str">
        <f>HYPERLINK("https://ota.tournamentsoftware.com/player-profile/8556435C-B5F1-47A5-8C4A-46AF5B800D78", "Link")</f>
        <v>Link</v>
      </c>
      <c r="E524" s="2">
        <v>223.946</v>
      </c>
      <c r="F524" s="3">
        <v>18</v>
      </c>
      <c r="G524" t="s">
        <v>29</v>
      </c>
      <c r="H524" t="s">
        <v>916</v>
      </c>
      <c r="I524">
        <v>33.1</v>
      </c>
      <c r="J524" s="3">
        <v>57</v>
      </c>
      <c r="K524" t="s">
        <v>266</v>
      </c>
      <c r="L524" t="s">
        <v>1560</v>
      </c>
      <c r="M524" s="4">
        <v>0.61</v>
      </c>
      <c r="N524" s="4">
        <v>0.64</v>
      </c>
    </row>
    <row r="525" spans="1:14" x14ac:dyDescent="0.4">
      <c r="A525">
        <v>524</v>
      </c>
      <c r="B525">
        <v>2011</v>
      </c>
      <c r="C525" t="s">
        <v>1561</v>
      </c>
      <c r="D525" t="str">
        <f>HYPERLINK("https://ota.tournamentsoftware.com/player-profile/BDA3E8BC-D222-43EC-A9F2-DD91C10B9367", "Link")</f>
        <v>Link</v>
      </c>
      <c r="E525" s="2">
        <v>223.43299999999999</v>
      </c>
      <c r="F525" s="3">
        <v>6</v>
      </c>
      <c r="G525" t="s">
        <v>25</v>
      </c>
      <c r="H525" t="s">
        <v>1562</v>
      </c>
      <c r="I525" t="s">
        <v>48</v>
      </c>
      <c r="J525" s="3">
        <v>17</v>
      </c>
      <c r="K525" t="s">
        <v>228</v>
      </c>
      <c r="L525" t="s">
        <v>1240</v>
      </c>
      <c r="M525" s="4">
        <v>0.59</v>
      </c>
      <c r="N525" s="4">
        <v>0.5</v>
      </c>
    </row>
    <row r="526" spans="1:14" x14ac:dyDescent="0.4">
      <c r="A526">
        <v>525</v>
      </c>
      <c r="B526">
        <v>2013</v>
      </c>
      <c r="C526" t="s">
        <v>1563</v>
      </c>
      <c r="D526" t="str">
        <f>HYPERLINK("https://ota.tournamentsoftware.com/player-profile/A931D3E2-A84F-4018-9B2A-A1664811863E", "Link")</f>
        <v>Link</v>
      </c>
      <c r="E526" s="2">
        <v>219.584</v>
      </c>
      <c r="F526" s="3">
        <v>12</v>
      </c>
      <c r="G526" t="s">
        <v>29</v>
      </c>
      <c r="H526" t="s">
        <v>141</v>
      </c>
      <c r="I526">
        <v>33.200000000000003</v>
      </c>
      <c r="J526" s="3">
        <v>90</v>
      </c>
      <c r="K526" t="s">
        <v>1564</v>
      </c>
      <c r="L526" t="s">
        <v>254</v>
      </c>
      <c r="M526" s="4">
        <v>0.67</v>
      </c>
      <c r="N526" s="4">
        <v>0.61</v>
      </c>
    </row>
    <row r="527" spans="1:14" x14ac:dyDescent="0.4">
      <c r="A527">
        <v>526</v>
      </c>
      <c r="B527">
        <v>2015</v>
      </c>
      <c r="C527" t="s">
        <v>1565</v>
      </c>
      <c r="D527" t="str">
        <f>HYPERLINK("https://ota.tournamentsoftware.com/player-profile/C398C976-6D88-4D76-B532-8E986C6FF0EA", "Link")</f>
        <v>Link</v>
      </c>
      <c r="E527" s="2">
        <v>219.184</v>
      </c>
      <c r="F527" s="3">
        <v>28</v>
      </c>
      <c r="G527" t="s">
        <v>29</v>
      </c>
      <c r="H527" t="s">
        <v>47</v>
      </c>
      <c r="I527">
        <v>33.5</v>
      </c>
      <c r="J527" s="3">
        <v>105</v>
      </c>
      <c r="K527" t="s">
        <v>1566</v>
      </c>
      <c r="L527" t="s">
        <v>1567</v>
      </c>
      <c r="M527" s="4">
        <v>0.62</v>
      </c>
      <c r="N527" s="4">
        <v>0.62</v>
      </c>
    </row>
    <row r="528" spans="1:14" x14ac:dyDescent="0.4">
      <c r="A528">
        <v>527</v>
      </c>
      <c r="B528">
        <v>2011</v>
      </c>
      <c r="C528" t="s">
        <v>1568</v>
      </c>
      <c r="D528" t="str">
        <f>HYPERLINK("https://ota.tournamentsoftware.com/player-profile/BF33C1E1-8E11-4533-ADF8-4F7ECCE3C41D", "Link")</f>
        <v>Link</v>
      </c>
      <c r="E528" s="2">
        <v>219.10300000000001</v>
      </c>
      <c r="F528" s="3">
        <v>11</v>
      </c>
      <c r="G528" t="s">
        <v>29</v>
      </c>
      <c r="H528" t="s">
        <v>1569</v>
      </c>
      <c r="I528">
        <v>37.700000000000003</v>
      </c>
      <c r="J528" s="3">
        <v>15</v>
      </c>
      <c r="K528" t="s">
        <v>1570</v>
      </c>
      <c r="L528" t="s">
        <v>1571</v>
      </c>
      <c r="M528" s="4">
        <v>7.0000000000000007E-2</v>
      </c>
      <c r="N528" s="4">
        <v>0.08</v>
      </c>
    </row>
    <row r="529" spans="1:14" x14ac:dyDescent="0.4">
      <c r="A529">
        <v>528</v>
      </c>
      <c r="B529">
        <v>2012</v>
      </c>
      <c r="C529" t="s">
        <v>1572</v>
      </c>
      <c r="D529" t="str">
        <f>HYPERLINK("https://ota.tournamentsoftware.com/player-profile/EF0AF614-E6CE-4E3C-9FC4-7EF8A5EB6B57", "Link")</f>
        <v>Link</v>
      </c>
      <c r="E529" s="2">
        <v>218.58099999999999</v>
      </c>
      <c r="F529" s="3">
        <v>3</v>
      </c>
      <c r="G529" t="s">
        <v>173</v>
      </c>
      <c r="H529" t="s">
        <v>887</v>
      </c>
      <c r="I529">
        <v>37.200000000000003</v>
      </c>
      <c r="J529" s="3">
        <v>24</v>
      </c>
      <c r="K529" t="s">
        <v>1573</v>
      </c>
      <c r="L529" t="s">
        <v>1574</v>
      </c>
      <c r="M529" s="4">
        <v>0.25</v>
      </c>
      <c r="N529" s="4">
        <v>0.14000000000000001</v>
      </c>
    </row>
    <row r="530" spans="1:14" x14ac:dyDescent="0.4">
      <c r="A530">
        <v>529</v>
      </c>
      <c r="B530">
        <v>2013</v>
      </c>
      <c r="C530" t="s">
        <v>1575</v>
      </c>
      <c r="D530" t="str">
        <f>HYPERLINK("https://ota.tournamentsoftware.com/player-profile/097D6397-0826-4C15-948E-B983C1D748F4", "Link")</f>
        <v>Link</v>
      </c>
      <c r="E530" s="2">
        <v>218.43799999999999</v>
      </c>
      <c r="F530" s="3">
        <v>15</v>
      </c>
      <c r="G530" t="s">
        <v>20</v>
      </c>
      <c r="H530" t="s">
        <v>252</v>
      </c>
      <c r="I530">
        <v>32.799999999999997</v>
      </c>
      <c r="J530" s="3">
        <v>118</v>
      </c>
      <c r="K530" t="s">
        <v>1576</v>
      </c>
      <c r="L530" t="s">
        <v>1577</v>
      </c>
      <c r="M530" s="4">
        <v>0.42</v>
      </c>
      <c r="N530" s="4">
        <v>0.43</v>
      </c>
    </row>
    <row r="531" spans="1:14" x14ac:dyDescent="0.4">
      <c r="A531">
        <v>530</v>
      </c>
      <c r="B531">
        <v>2013</v>
      </c>
      <c r="C531" t="s">
        <v>1578</v>
      </c>
      <c r="D531" t="str">
        <f>HYPERLINK("https://ota.tournamentsoftware.com/player-profile/A3D2A82D-C6E8-410C-A1B3-E5DC3B845B7A", "Link")</f>
        <v>Link</v>
      </c>
      <c r="E531" s="2">
        <v>217.72200000000001</v>
      </c>
      <c r="F531" s="3">
        <v>19</v>
      </c>
      <c r="G531" t="s">
        <v>25</v>
      </c>
      <c r="H531" t="s">
        <v>754</v>
      </c>
      <c r="I531">
        <v>34.200000000000003</v>
      </c>
      <c r="J531" s="3">
        <v>155</v>
      </c>
      <c r="K531" t="s">
        <v>1579</v>
      </c>
      <c r="L531" t="s">
        <v>341</v>
      </c>
      <c r="M531" s="4">
        <v>0.28000000000000003</v>
      </c>
      <c r="N531" s="4">
        <v>0.4</v>
      </c>
    </row>
    <row r="532" spans="1:14" x14ac:dyDescent="0.4">
      <c r="A532">
        <v>531</v>
      </c>
      <c r="B532">
        <v>2015</v>
      </c>
      <c r="C532" t="s">
        <v>1580</v>
      </c>
      <c r="D532" t="str">
        <f>HYPERLINK("https://ota.tournamentsoftware.com/player-profile/6516E6BE-4D11-4CDB-8F62-FFE106E8A899", "Link")</f>
        <v>Link</v>
      </c>
      <c r="E532" s="2">
        <v>216.76900000000001</v>
      </c>
      <c r="F532" s="3">
        <v>27</v>
      </c>
      <c r="G532" t="s">
        <v>29</v>
      </c>
      <c r="H532" t="s">
        <v>16</v>
      </c>
      <c r="I532">
        <v>33.799999999999997</v>
      </c>
      <c r="J532" s="3">
        <v>159</v>
      </c>
      <c r="K532" t="s">
        <v>1581</v>
      </c>
      <c r="L532" t="s">
        <v>1582</v>
      </c>
      <c r="M532" s="4">
        <v>0.42</v>
      </c>
      <c r="N532" s="4">
        <v>0.48</v>
      </c>
    </row>
    <row r="533" spans="1:14" x14ac:dyDescent="0.4">
      <c r="A533">
        <v>532</v>
      </c>
      <c r="B533">
        <v>2012</v>
      </c>
      <c r="C533" t="s">
        <v>1583</v>
      </c>
      <c r="D533" t="str">
        <f>HYPERLINK("https://ota.tournamentsoftware.com/player-profile/1A8DA0C1-51FB-48B8-8AED-D37DAB186E95", "Link")</f>
        <v>Link</v>
      </c>
      <c r="E533" s="2">
        <v>216.761</v>
      </c>
      <c r="F533" s="3">
        <v>20</v>
      </c>
      <c r="G533" t="s">
        <v>29</v>
      </c>
      <c r="H533" t="s">
        <v>16</v>
      </c>
      <c r="I533">
        <v>33</v>
      </c>
      <c r="J533" s="3">
        <v>85</v>
      </c>
      <c r="K533" t="s">
        <v>1493</v>
      </c>
      <c r="L533" t="s">
        <v>1430</v>
      </c>
      <c r="M533" s="4">
        <v>0.36</v>
      </c>
      <c r="N533" s="4">
        <v>0.5</v>
      </c>
    </row>
    <row r="534" spans="1:14" x14ac:dyDescent="0.4">
      <c r="A534">
        <v>533</v>
      </c>
      <c r="B534">
        <v>2014</v>
      </c>
      <c r="C534" t="s">
        <v>1584</v>
      </c>
      <c r="D534" t="str">
        <f>HYPERLINK("https://ota.tournamentsoftware.com/player-profile/18CCEC3F-12DA-4A55-A300-393E64FB4F6E", "Link")</f>
        <v>Link</v>
      </c>
      <c r="E534" s="2">
        <v>216.39599999999999</v>
      </c>
      <c r="F534" s="3">
        <v>11</v>
      </c>
      <c r="G534" t="s">
        <v>173</v>
      </c>
      <c r="H534" t="s">
        <v>1585</v>
      </c>
      <c r="I534">
        <v>33.4</v>
      </c>
      <c r="J534" s="3">
        <v>93</v>
      </c>
      <c r="K534" t="s">
        <v>1586</v>
      </c>
      <c r="L534" t="s">
        <v>316</v>
      </c>
      <c r="M534" s="4">
        <v>0.49</v>
      </c>
      <c r="N534" s="4">
        <v>0.64</v>
      </c>
    </row>
    <row r="535" spans="1:14" x14ac:dyDescent="0.4">
      <c r="A535">
        <v>534</v>
      </c>
      <c r="B535">
        <v>2015</v>
      </c>
      <c r="C535" t="s">
        <v>1587</v>
      </c>
      <c r="D535" t="str">
        <f>HYPERLINK("https://ota.tournamentsoftware.com/player-profile/92FC49CB-246B-48E6-ABC3-903AA780449F", "Link")</f>
        <v>Link</v>
      </c>
      <c r="E535" s="2">
        <v>215.601</v>
      </c>
      <c r="F535" s="3">
        <v>27</v>
      </c>
      <c r="G535" t="s">
        <v>20</v>
      </c>
      <c r="H535" t="s">
        <v>900</v>
      </c>
      <c r="I535">
        <v>32.299999999999997</v>
      </c>
      <c r="J535" s="3">
        <v>127</v>
      </c>
      <c r="K535" t="s">
        <v>1588</v>
      </c>
      <c r="L535" t="s">
        <v>1589</v>
      </c>
      <c r="M535" s="4">
        <v>0.51</v>
      </c>
      <c r="N535" s="4">
        <v>0.53</v>
      </c>
    </row>
    <row r="536" spans="1:14" x14ac:dyDescent="0.4">
      <c r="A536">
        <v>535</v>
      </c>
      <c r="B536">
        <v>2015</v>
      </c>
      <c r="C536" t="s">
        <v>1590</v>
      </c>
      <c r="D536" t="str">
        <f>HYPERLINK("https://ota.tournamentsoftware.com/player-profile/004E04F8-71A7-4C1F-B42C-805F1590C456", "Link")</f>
        <v>Link</v>
      </c>
      <c r="E536" s="2">
        <v>215.21199999999999</v>
      </c>
      <c r="F536" s="3">
        <v>8</v>
      </c>
      <c r="G536" t="s">
        <v>25</v>
      </c>
      <c r="H536" t="s">
        <v>99</v>
      </c>
      <c r="I536">
        <v>31.3</v>
      </c>
      <c r="J536" s="3">
        <v>115</v>
      </c>
      <c r="K536" t="s">
        <v>1591</v>
      </c>
      <c r="L536" t="s">
        <v>1592</v>
      </c>
      <c r="M536" s="4">
        <v>0.6</v>
      </c>
      <c r="N536" s="4">
        <v>0.74</v>
      </c>
    </row>
    <row r="537" spans="1:14" x14ac:dyDescent="0.4">
      <c r="A537">
        <v>536</v>
      </c>
      <c r="B537">
        <v>2010</v>
      </c>
      <c r="C537" t="s">
        <v>1593</v>
      </c>
      <c r="D537" t="str">
        <f>HYPERLINK("https://ota.tournamentsoftware.com/player-profile/53DE08CB-7D19-4405-945A-6B9411891BDF", "Link")</f>
        <v>Link</v>
      </c>
      <c r="E537" s="2">
        <v>213.541</v>
      </c>
      <c r="F537" s="3">
        <v>5</v>
      </c>
      <c r="G537" t="s">
        <v>25</v>
      </c>
      <c r="H537" t="s">
        <v>1594</v>
      </c>
      <c r="I537">
        <v>33.1</v>
      </c>
      <c r="J537" s="3">
        <v>21</v>
      </c>
      <c r="K537" t="s">
        <v>1595</v>
      </c>
      <c r="L537" t="s">
        <v>139</v>
      </c>
      <c r="M537" s="4">
        <v>0.33</v>
      </c>
      <c r="N537" s="4">
        <v>0.62</v>
      </c>
    </row>
    <row r="538" spans="1:14" x14ac:dyDescent="0.4">
      <c r="A538">
        <v>537</v>
      </c>
      <c r="B538">
        <v>2013</v>
      </c>
      <c r="C538" t="s">
        <v>1596</v>
      </c>
      <c r="D538" t="str">
        <f>HYPERLINK("https://ota.tournamentsoftware.com/player-profile/E532A343-867C-4B97-BCB3-998A28EC84A8", "Link")</f>
        <v>Link</v>
      </c>
      <c r="E538" s="2">
        <v>212.416</v>
      </c>
      <c r="F538" s="3">
        <v>9</v>
      </c>
      <c r="G538" t="s">
        <v>20</v>
      </c>
      <c r="H538" t="s">
        <v>809</v>
      </c>
      <c r="I538">
        <v>32</v>
      </c>
      <c r="J538" s="3">
        <v>152</v>
      </c>
      <c r="K538" t="s">
        <v>1597</v>
      </c>
      <c r="L538" t="s">
        <v>879</v>
      </c>
      <c r="M538" s="4">
        <v>0.55000000000000004</v>
      </c>
      <c r="N538" s="4">
        <v>0</v>
      </c>
    </row>
    <row r="539" spans="1:14" x14ac:dyDescent="0.4">
      <c r="A539">
        <v>538</v>
      </c>
      <c r="B539">
        <v>2011</v>
      </c>
      <c r="C539" t="s">
        <v>1598</v>
      </c>
      <c r="D539" t="str">
        <f>HYPERLINK("https://ota.tournamentsoftware.com/player-profile/9D2A9DB7-EEB3-45F8-AD2D-38D80CC87228", "Link")</f>
        <v>Link</v>
      </c>
      <c r="E539" s="2">
        <v>212.143</v>
      </c>
      <c r="F539" s="3">
        <v>5</v>
      </c>
      <c r="G539" t="s">
        <v>29</v>
      </c>
      <c r="H539" t="s">
        <v>1599</v>
      </c>
      <c r="I539">
        <v>38</v>
      </c>
      <c r="J539" s="3">
        <v>20</v>
      </c>
      <c r="K539" t="s">
        <v>1600</v>
      </c>
      <c r="L539" t="s">
        <v>1189</v>
      </c>
      <c r="M539" s="4">
        <v>0.2</v>
      </c>
      <c r="N539" s="4">
        <v>0.17</v>
      </c>
    </row>
    <row r="540" spans="1:14" x14ac:dyDescent="0.4">
      <c r="A540">
        <v>539</v>
      </c>
      <c r="B540">
        <v>2015</v>
      </c>
      <c r="C540" t="s">
        <v>1601</v>
      </c>
      <c r="D540" t="str">
        <f>HYPERLINK("https://ota.tournamentsoftware.com/player-profile/FD2638E4-B06D-478E-9F5A-FE51B9EC8DF8", "Link")</f>
        <v>Link</v>
      </c>
      <c r="E540" s="2">
        <v>211.94399999999999</v>
      </c>
      <c r="F540" s="3">
        <v>16</v>
      </c>
      <c r="G540" t="s">
        <v>29</v>
      </c>
      <c r="H540" t="s">
        <v>1602</v>
      </c>
      <c r="I540" t="s">
        <v>48</v>
      </c>
      <c r="J540" s="3">
        <v>155</v>
      </c>
      <c r="K540" t="s">
        <v>1603</v>
      </c>
      <c r="L540" t="s">
        <v>1604</v>
      </c>
      <c r="M540" s="4">
        <v>0.61</v>
      </c>
      <c r="N540" s="4">
        <v>0.42</v>
      </c>
    </row>
    <row r="541" spans="1:14" x14ac:dyDescent="0.4">
      <c r="A541">
        <v>540</v>
      </c>
      <c r="B541">
        <v>2010</v>
      </c>
      <c r="C541" t="s">
        <v>1605</v>
      </c>
      <c r="D541" t="str">
        <f>HYPERLINK("https://ota.tournamentsoftware.com/player-profile/5EC68D13-8A5A-40CC-A5E8-2083FAAB21AB", "Link")</f>
        <v>Link</v>
      </c>
      <c r="E541" s="2">
        <v>211.78100000000001</v>
      </c>
      <c r="F541" s="3">
        <v>6</v>
      </c>
      <c r="G541" t="s">
        <v>29</v>
      </c>
      <c r="H541" t="s">
        <v>141</v>
      </c>
      <c r="I541">
        <v>37.9</v>
      </c>
      <c r="J541" s="3">
        <v>7</v>
      </c>
      <c r="K541" t="s">
        <v>1526</v>
      </c>
      <c r="L541" t="s">
        <v>1526</v>
      </c>
      <c r="M541" s="4">
        <v>0</v>
      </c>
      <c r="N541" s="4">
        <v>0</v>
      </c>
    </row>
    <row r="542" spans="1:14" x14ac:dyDescent="0.4">
      <c r="A542">
        <v>541</v>
      </c>
      <c r="B542">
        <v>2011</v>
      </c>
      <c r="C542" t="s">
        <v>1606</v>
      </c>
      <c r="D542" t="str">
        <f>HYPERLINK("https://ota.tournamentsoftware.com/player-profile/66F8ED79-46A6-4DF3-8E13-F1B5764A6586", "Link")</f>
        <v>Link</v>
      </c>
      <c r="E542" s="2">
        <v>210.57499999999999</v>
      </c>
      <c r="F542" s="3">
        <v>5</v>
      </c>
      <c r="G542" t="s">
        <v>29</v>
      </c>
      <c r="H542" t="s">
        <v>1607</v>
      </c>
      <c r="I542">
        <v>30.1</v>
      </c>
      <c r="J542" s="3">
        <v>30</v>
      </c>
      <c r="K542" t="s">
        <v>1577</v>
      </c>
      <c r="L542" t="s">
        <v>999</v>
      </c>
      <c r="M542" s="4">
        <v>0.43</v>
      </c>
      <c r="N542" s="4">
        <v>0.43</v>
      </c>
    </row>
    <row r="543" spans="1:14" x14ac:dyDescent="0.4">
      <c r="A543">
        <v>542</v>
      </c>
      <c r="B543">
        <v>2012</v>
      </c>
      <c r="C543" t="s">
        <v>1608</v>
      </c>
      <c r="D543" t="str">
        <f>HYPERLINK("https://ota.tournamentsoftware.com/player-profile/2C69CAA6-FCC8-49BC-ACA2-32F5C15717ED", "Link")</f>
        <v>Link</v>
      </c>
      <c r="E543" s="2">
        <v>210.416</v>
      </c>
      <c r="F543" s="3">
        <v>19</v>
      </c>
      <c r="G543" t="s">
        <v>20</v>
      </c>
      <c r="H543" t="s">
        <v>1413</v>
      </c>
      <c r="I543">
        <v>32.4</v>
      </c>
      <c r="J543" s="3">
        <v>179</v>
      </c>
      <c r="K543" t="s">
        <v>1609</v>
      </c>
      <c r="L543" t="s">
        <v>631</v>
      </c>
      <c r="M543" s="4">
        <v>0.44</v>
      </c>
      <c r="N543" s="4">
        <v>0.45</v>
      </c>
    </row>
    <row r="544" spans="1:14" x14ac:dyDescent="0.4">
      <c r="A544">
        <v>543</v>
      </c>
      <c r="B544">
        <v>2015</v>
      </c>
      <c r="C544" t="s">
        <v>1610</v>
      </c>
      <c r="D544" t="str">
        <f>HYPERLINK("https://ota.tournamentsoftware.com/player-profile/025F0929-F490-4440-8CB6-08E8D1F59F08", "Link")</f>
        <v>Link</v>
      </c>
      <c r="E544" s="2">
        <v>209.03899999999999</v>
      </c>
      <c r="F544" s="3">
        <v>16</v>
      </c>
      <c r="G544" t="s">
        <v>25</v>
      </c>
      <c r="H544" t="s">
        <v>289</v>
      </c>
      <c r="I544">
        <v>32.200000000000003</v>
      </c>
      <c r="J544" s="3">
        <v>127</v>
      </c>
      <c r="K544" t="s">
        <v>1611</v>
      </c>
      <c r="L544" t="s">
        <v>1612</v>
      </c>
      <c r="M544" s="4">
        <v>0.54</v>
      </c>
      <c r="N544" s="4">
        <v>0.48</v>
      </c>
    </row>
    <row r="545" spans="1:14" x14ac:dyDescent="0.4">
      <c r="A545">
        <v>544</v>
      </c>
      <c r="B545">
        <v>2014</v>
      </c>
      <c r="C545" t="s">
        <v>1613</v>
      </c>
      <c r="D545" t="str">
        <f>HYPERLINK("https://ota.tournamentsoftware.com/player-profile/03274A3B-556F-4321-880B-2AF255E6A817", "Link")</f>
        <v>Link</v>
      </c>
      <c r="E545" s="2">
        <v>208.86</v>
      </c>
      <c r="F545" s="3">
        <v>20</v>
      </c>
      <c r="G545" t="s">
        <v>20</v>
      </c>
      <c r="H545" t="s">
        <v>127</v>
      </c>
      <c r="I545">
        <v>30.1</v>
      </c>
      <c r="J545" s="3">
        <v>226</v>
      </c>
      <c r="K545" t="s">
        <v>1614</v>
      </c>
      <c r="L545" t="s">
        <v>845</v>
      </c>
      <c r="M545" s="4">
        <v>0.62</v>
      </c>
      <c r="N545" s="4">
        <v>0.62</v>
      </c>
    </row>
    <row r="546" spans="1:14" x14ac:dyDescent="0.4">
      <c r="A546">
        <v>545</v>
      </c>
      <c r="B546">
        <v>2014</v>
      </c>
      <c r="C546" t="s">
        <v>1615</v>
      </c>
      <c r="D546" t="str">
        <f>HYPERLINK("https://ota.tournamentsoftware.com/player-profile/5A42C908-572E-4E42-A8CB-609FCF083DE9", "Link")</f>
        <v>Link</v>
      </c>
      <c r="E546" s="2">
        <v>206.56</v>
      </c>
      <c r="F546" s="3">
        <v>9</v>
      </c>
      <c r="G546" t="s">
        <v>29</v>
      </c>
      <c r="H546" t="s">
        <v>532</v>
      </c>
      <c r="I546">
        <v>30.8</v>
      </c>
      <c r="J546" s="3">
        <v>38</v>
      </c>
      <c r="K546" t="s">
        <v>1616</v>
      </c>
      <c r="L546" t="s">
        <v>1617</v>
      </c>
      <c r="M546" s="4">
        <v>0.71</v>
      </c>
      <c r="N546" s="4">
        <v>0.73</v>
      </c>
    </row>
    <row r="547" spans="1:14" x14ac:dyDescent="0.4">
      <c r="A547">
        <v>546</v>
      </c>
      <c r="B547">
        <v>2014</v>
      </c>
      <c r="C547" t="s">
        <v>1618</v>
      </c>
      <c r="D547" t="str">
        <f>HYPERLINK("https://ota.tournamentsoftware.com/player-profile/C809B120-C1B7-4F85-B411-257E3DC9B63B", "Link")</f>
        <v>Link</v>
      </c>
      <c r="E547" s="2">
        <v>205.18299999999999</v>
      </c>
      <c r="F547" s="3">
        <v>7</v>
      </c>
      <c r="G547" t="s">
        <v>29</v>
      </c>
      <c r="H547" t="s">
        <v>163</v>
      </c>
      <c r="I547">
        <v>33.5</v>
      </c>
      <c r="J547" s="3">
        <v>165</v>
      </c>
      <c r="K547" t="s">
        <v>1619</v>
      </c>
      <c r="L547" t="s">
        <v>1433</v>
      </c>
      <c r="M547" s="4">
        <v>0.57999999999999996</v>
      </c>
      <c r="N547" s="4">
        <v>0.38</v>
      </c>
    </row>
    <row r="548" spans="1:14" x14ac:dyDescent="0.4">
      <c r="A548">
        <v>547</v>
      </c>
      <c r="B548">
        <v>2014</v>
      </c>
      <c r="C548" t="s">
        <v>1620</v>
      </c>
      <c r="D548" t="str">
        <f>HYPERLINK("https://ota.tournamentsoftware.com/player-profile/8C1C07F2-C769-4A85-8385-40B14C9CD709", "Link")</f>
        <v>Link</v>
      </c>
      <c r="E548" s="2">
        <v>203.59200000000001</v>
      </c>
      <c r="F548" s="3">
        <v>6</v>
      </c>
      <c r="G548" t="s">
        <v>369</v>
      </c>
      <c r="H548" t="s">
        <v>732</v>
      </c>
      <c r="I548">
        <v>32</v>
      </c>
      <c r="J548" s="3">
        <v>102</v>
      </c>
      <c r="K548" t="s">
        <v>1621</v>
      </c>
      <c r="L548" t="s">
        <v>1622</v>
      </c>
      <c r="M548" s="4">
        <v>0.55000000000000004</v>
      </c>
      <c r="N548" s="4">
        <v>0.71</v>
      </c>
    </row>
    <row r="549" spans="1:14" x14ac:dyDescent="0.4">
      <c r="A549">
        <v>548</v>
      </c>
      <c r="B549">
        <v>2012</v>
      </c>
      <c r="C549" t="s">
        <v>1623</v>
      </c>
      <c r="D549" t="str">
        <f>HYPERLINK("https://ota.tournamentsoftware.com/player-profile/90EB2857-D907-47BD-ABB6-AAED21876912", "Link")</f>
        <v>Link</v>
      </c>
      <c r="E549" s="2">
        <v>203.57300000000001</v>
      </c>
      <c r="F549" s="3">
        <v>8</v>
      </c>
      <c r="G549" t="s">
        <v>25</v>
      </c>
      <c r="H549" t="s">
        <v>85</v>
      </c>
      <c r="I549">
        <v>34</v>
      </c>
      <c r="J549" s="3">
        <v>122</v>
      </c>
      <c r="K549" t="s">
        <v>1624</v>
      </c>
      <c r="L549" t="s">
        <v>1625</v>
      </c>
      <c r="M549" s="4">
        <v>0.37</v>
      </c>
      <c r="N549" s="4">
        <v>0.33</v>
      </c>
    </row>
    <row r="550" spans="1:14" x14ac:dyDescent="0.4">
      <c r="A550">
        <v>549</v>
      </c>
      <c r="B550">
        <v>2014</v>
      </c>
      <c r="C550" t="s">
        <v>1626</v>
      </c>
      <c r="D550" t="str">
        <f>HYPERLINK("https://ota.tournamentsoftware.com/player-profile/96155B79-5199-481D-8AF1-A174FA860401", "Link")</f>
        <v>Link</v>
      </c>
      <c r="E550" s="2">
        <v>203.548</v>
      </c>
      <c r="F550" s="3">
        <v>14</v>
      </c>
      <c r="G550" t="s">
        <v>29</v>
      </c>
      <c r="H550" t="s">
        <v>904</v>
      </c>
      <c r="I550">
        <v>34.9</v>
      </c>
      <c r="J550" s="3">
        <v>136</v>
      </c>
      <c r="K550" t="s">
        <v>1627</v>
      </c>
      <c r="L550" t="s">
        <v>1628</v>
      </c>
      <c r="M550" s="4">
        <v>0.43</v>
      </c>
      <c r="N550" s="4">
        <v>0.32</v>
      </c>
    </row>
    <row r="551" spans="1:14" x14ac:dyDescent="0.4">
      <c r="A551">
        <v>550</v>
      </c>
      <c r="B551">
        <v>2012</v>
      </c>
      <c r="C551" t="s">
        <v>1629</v>
      </c>
      <c r="D551" t="str">
        <f>HYPERLINK("https://ota.tournamentsoftware.com/player-profile/10345BBC-2CC8-4DA1-AA88-2730495B6CB8", "Link")</f>
        <v>Link</v>
      </c>
      <c r="E551" s="2">
        <v>201.38399999999999</v>
      </c>
      <c r="F551" s="3">
        <v>23</v>
      </c>
      <c r="G551" t="s">
        <v>29</v>
      </c>
      <c r="H551" t="s">
        <v>141</v>
      </c>
      <c r="I551" t="s">
        <v>48</v>
      </c>
      <c r="J551" s="3">
        <v>104</v>
      </c>
      <c r="K551" t="s">
        <v>1630</v>
      </c>
      <c r="L551" t="s">
        <v>550</v>
      </c>
      <c r="M551" s="4">
        <v>0.44</v>
      </c>
      <c r="N551" s="4">
        <v>0.53</v>
      </c>
    </row>
    <row r="552" spans="1:14" x14ac:dyDescent="0.4">
      <c r="A552">
        <v>551</v>
      </c>
      <c r="B552">
        <v>2015</v>
      </c>
      <c r="C552" t="s">
        <v>1631</v>
      </c>
      <c r="D552" t="str">
        <f>HYPERLINK("https://ota.tournamentsoftware.com/player-profile/EE941149-B269-44AA-A65B-D00099EE4086", "Link")</f>
        <v>Link</v>
      </c>
      <c r="E552" s="2">
        <v>201.35400000000001</v>
      </c>
      <c r="F552" s="3">
        <v>26</v>
      </c>
      <c r="G552" t="s">
        <v>25</v>
      </c>
      <c r="H552" t="s">
        <v>99</v>
      </c>
      <c r="I552">
        <v>34.5</v>
      </c>
      <c r="J552" s="3">
        <v>142</v>
      </c>
      <c r="K552" t="s">
        <v>1632</v>
      </c>
      <c r="L552" t="s">
        <v>631</v>
      </c>
      <c r="M552" s="4">
        <v>0.49</v>
      </c>
      <c r="N552" s="4">
        <v>0.45</v>
      </c>
    </row>
    <row r="553" spans="1:14" x14ac:dyDescent="0.4">
      <c r="A553">
        <v>552</v>
      </c>
      <c r="B553">
        <v>2014</v>
      </c>
      <c r="C553" t="s">
        <v>1633</v>
      </c>
      <c r="D553" t="str">
        <f>HYPERLINK("https://ota.tournamentsoftware.com/player-profile/7F2BA85F-A3DF-40B8-9457-1DD55A7C11FB", "Link")</f>
        <v>Link</v>
      </c>
      <c r="E553" s="2">
        <v>200.268</v>
      </c>
      <c r="F553" s="3">
        <v>24</v>
      </c>
      <c r="G553" t="s">
        <v>29</v>
      </c>
      <c r="H553" t="s">
        <v>103</v>
      </c>
      <c r="I553">
        <v>34.299999999999997</v>
      </c>
      <c r="J553" s="3">
        <v>145</v>
      </c>
      <c r="K553" t="s">
        <v>1634</v>
      </c>
      <c r="L553" t="s">
        <v>1635</v>
      </c>
      <c r="M553" s="4">
        <v>0.34</v>
      </c>
      <c r="N553" s="4">
        <v>0.52</v>
      </c>
    </row>
    <row r="554" spans="1:14" x14ac:dyDescent="0.4">
      <c r="A554">
        <v>553</v>
      </c>
      <c r="B554">
        <v>2016</v>
      </c>
      <c r="C554" t="s">
        <v>1636</v>
      </c>
      <c r="D554" t="str">
        <f>HYPERLINK("https://ota.tournamentsoftware.com/player-profile/4830D271-776A-41F3-B5D9-B5D2EC272CB4", "Link")</f>
        <v>Link</v>
      </c>
      <c r="E554" s="2">
        <v>199.43</v>
      </c>
      <c r="F554" s="3">
        <v>9</v>
      </c>
      <c r="G554" t="s">
        <v>25</v>
      </c>
      <c r="H554" t="s">
        <v>182</v>
      </c>
      <c r="I554">
        <v>32.9</v>
      </c>
      <c r="J554" s="3">
        <v>81</v>
      </c>
      <c r="K554" t="s">
        <v>1637</v>
      </c>
      <c r="L554" t="s">
        <v>1638</v>
      </c>
      <c r="M554" s="4">
        <v>0.6</v>
      </c>
      <c r="N554" s="4">
        <v>0.72</v>
      </c>
    </row>
    <row r="555" spans="1:14" x14ac:dyDescent="0.4">
      <c r="A555">
        <v>554</v>
      </c>
      <c r="B555">
        <v>2013</v>
      </c>
      <c r="C555" t="s">
        <v>1639</v>
      </c>
      <c r="D555" t="str">
        <f>HYPERLINK("https://ota.tournamentsoftware.com/player-profile/0A98F660-17C5-4374-B63C-9B5B0E183AF0", "Link")</f>
        <v>Link</v>
      </c>
      <c r="E555" s="2">
        <v>198.964</v>
      </c>
      <c r="F555" s="3">
        <v>8</v>
      </c>
      <c r="G555" t="s">
        <v>25</v>
      </c>
      <c r="H555" t="s">
        <v>182</v>
      </c>
      <c r="I555">
        <v>33.1</v>
      </c>
      <c r="J555" s="3">
        <v>33</v>
      </c>
      <c r="K555" t="s">
        <v>423</v>
      </c>
      <c r="L555" t="s">
        <v>1030</v>
      </c>
      <c r="M555" s="4">
        <v>0.57999999999999996</v>
      </c>
      <c r="N555" s="4">
        <v>0.25</v>
      </c>
    </row>
    <row r="556" spans="1:14" x14ac:dyDescent="0.4">
      <c r="A556">
        <v>555</v>
      </c>
      <c r="B556">
        <v>2014</v>
      </c>
      <c r="C556" t="s">
        <v>1640</v>
      </c>
      <c r="D556" t="str">
        <f>HYPERLINK("https://ota.tournamentsoftware.com/player-profile/B6887B12-5A2B-48B9-8A94-164305BBBBBE", "Link")</f>
        <v>Link</v>
      </c>
      <c r="E556" s="2">
        <v>198.74600000000001</v>
      </c>
      <c r="F556" s="3">
        <v>20</v>
      </c>
      <c r="G556" t="s">
        <v>29</v>
      </c>
      <c r="H556" t="s">
        <v>141</v>
      </c>
      <c r="I556">
        <v>33.6</v>
      </c>
      <c r="J556" s="3">
        <v>102</v>
      </c>
      <c r="K556" t="s">
        <v>1641</v>
      </c>
      <c r="L556" t="s">
        <v>547</v>
      </c>
      <c r="M556" s="4">
        <v>0.47</v>
      </c>
      <c r="N556" s="4">
        <v>0.52</v>
      </c>
    </row>
    <row r="557" spans="1:14" x14ac:dyDescent="0.4">
      <c r="A557">
        <v>556</v>
      </c>
      <c r="B557">
        <v>2013</v>
      </c>
      <c r="C557" t="s">
        <v>1642</v>
      </c>
      <c r="D557" t="str">
        <f>HYPERLINK("https://ota.tournamentsoftware.com/player-profile/1A3AE60F-B4FB-4C4C-AE09-5D730884AC0A", "Link")</f>
        <v>Link</v>
      </c>
      <c r="E557" s="2">
        <v>198.06700000000001</v>
      </c>
      <c r="F557" s="3">
        <v>12</v>
      </c>
      <c r="G557" t="s">
        <v>109</v>
      </c>
      <c r="H557" t="s">
        <v>387</v>
      </c>
      <c r="I557">
        <v>33.1</v>
      </c>
      <c r="J557" s="3">
        <v>143</v>
      </c>
      <c r="K557" t="s">
        <v>1643</v>
      </c>
      <c r="L557" t="s">
        <v>1644</v>
      </c>
      <c r="M557" s="4">
        <v>0.46</v>
      </c>
      <c r="N557" s="4">
        <v>0.43</v>
      </c>
    </row>
    <row r="558" spans="1:14" x14ac:dyDescent="0.4">
      <c r="A558">
        <v>557</v>
      </c>
      <c r="B558">
        <v>2010</v>
      </c>
      <c r="C558" t="s">
        <v>1645</v>
      </c>
      <c r="D558" t="str">
        <f>HYPERLINK("https://ota.tournamentsoftware.com/player-profile/15BF0A45-CA54-402B-A356-99B2180A4456", "Link")</f>
        <v>Link</v>
      </c>
      <c r="E558" s="2">
        <v>197.42500000000001</v>
      </c>
      <c r="F558" s="3">
        <v>8</v>
      </c>
      <c r="G558" t="s">
        <v>29</v>
      </c>
      <c r="H558" t="s">
        <v>16</v>
      </c>
      <c r="I558" t="s">
        <v>48</v>
      </c>
      <c r="J558" s="3">
        <v>55</v>
      </c>
      <c r="K558" t="s">
        <v>1646</v>
      </c>
      <c r="L558" t="s">
        <v>433</v>
      </c>
      <c r="M558" s="4">
        <v>0.2</v>
      </c>
      <c r="N558" s="4">
        <v>0</v>
      </c>
    </row>
    <row r="559" spans="1:14" x14ac:dyDescent="0.4">
      <c r="A559">
        <v>558</v>
      </c>
      <c r="B559">
        <v>2010</v>
      </c>
      <c r="C559" t="s">
        <v>1647</v>
      </c>
      <c r="D559" t="str">
        <f>HYPERLINK("https://ota.tournamentsoftware.com/player-profile/0F4ECEB0-9108-4638-BAA5-7C486A7953BA", "Link")</f>
        <v>Link</v>
      </c>
      <c r="E559" s="2">
        <v>196.16</v>
      </c>
      <c r="F559" s="3">
        <v>14</v>
      </c>
      <c r="G559" t="s">
        <v>25</v>
      </c>
      <c r="H559" t="s">
        <v>182</v>
      </c>
      <c r="I559">
        <v>28.3</v>
      </c>
      <c r="J559" s="3">
        <v>213</v>
      </c>
      <c r="K559" t="s">
        <v>1648</v>
      </c>
      <c r="L559" t="s">
        <v>1284</v>
      </c>
      <c r="M559" s="4">
        <v>0.54</v>
      </c>
      <c r="N559" s="4">
        <v>0.33</v>
      </c>
    </row>
    <row r="560" spans="1:14" x14ac:dyDescent="0.4">
      <c r="A560">
        <v>559</v>
      </c>
      <c r="B560">
        <v>2010</v>
      </c>
      <c r="C560" t="s">
        <v>1649</v>
      </c>
      <c r="D560" t="str">
        <f>HYPERLINK("https://ota.tournamentsoftware.com/player-profile/1837F0B2-836A-4161-AD6E-C7A67677E672", "Link")</f>
        <v>Link</v>
      </c>
      <c r="E560" s="2">
        <v>194.95400000000001</v>
      </c>
      <c r="F560" s="3">
        <v>3</v>
      </c>
      <c r="G560" t="s">
        <v>20</v>
      </c>
      <c r="H560" t="s">
        <v>21</v>
      </c>
      <c r="I560">
        <v>32.700000000000003</v>
      </c>
      <c r="J560" s="3">
        <v>140</v>
      </c>
      <c r="K560" t="s">
        <v>1650</v>
      </c>
      <c r="L560" t="s">
        <v>433</v>
      </c>
      <c r="M560" s="4">
        <v>0.21</v>
      </c>
      <c r="N560" s="4">
        <v>0</v>
      </c>
    </row>
    <row r="561" spans="1:14" x14ac:dyDescent="0.4">
      <c r="A561">
        <v>560</v>
      </c>
      <c r="B561">
        <v>2014</v>
      </c>
      <c r="C561" t="s">
        <v>1651</v>
      </c>
      <c r="D561" t="str">
        <f>HYPERLINK("https://ota.tournamentsoftware.com/player-profile/B7EC0DBA-A6B8-49FA-A398-63ABEF8384E7", "Link")</f>
        <v>Link</v>
      </c>
      <c r="E561" s="2">
        <v>194.53399999999999</v>
      </c>
      <c r="F561" s="3">
        <v>12</v>
      </c>
      <c r="G561" t="s">
        <v>29</v>
      </c>
      <c r="H561" t="s">
        <v>1652</v>
      </c>
      <c r="I561">
        <v>33.799999999999997</v>
      </c>
      <c r="J561" s="3">
        <v>84</v>
      </c>
      <c r="K561" t="s">
        <v>1653</v>
      </c>
      <c r="L561" t="s">
        <v>577</v>
      </c>
      <c r="M561" s="4">
        <v>0.36</v>
      </c>
      <c r="N561" s="4">
        <v>0.48</v>
      </c>
    </row>
    <row r="562" spans="1:14" x14ac:dyDescent="0.4">
      <c r="A562">
        <v>561</v>
      </c>
      <c r="B562">
        <v>2012</v>
      </c>
      <c r="C562" t="s">
        <v>1654</v>
      </c>
      <c r="D562" t="str">
        <f>HYPERLINK("https://ota.tournamentsoftware.com/player-profile/7FCFD8F6-5B52-4825-B8AA-B72BF77A3298", "Link")</f>
        <v>Link</v>
      </c>
      <c r="E562" s="2">
        <v>194.32499999999999</v>
      </c>
      <c r="F562" s="3">
        <v>15</v>
      </c>
      <c r="G562" t="s">
        <v>109</v>
      </c>
      <c r="H562" t="s">
        <v>110</v>
      </c>
      <c r="I562">
        <v>31.1</v>
      </c>
      <c r="J562" s="3">
        <v>200</v>
      </c>
      <c r="K562" t="s">
        <v>1655</v>
      </c>
      <c r="L562" t="s">
        <v>1275</v>
      </c>
      <c r="M562" s="4">
        <v>0.49</v>
      </c>
      <c r="N562" s="4">
        <v>0.31</v>
      </c>
    </row>
    <row r="563" spans="1:14" x14ac:dyDescent="0.4">
      <c r="A563">
        <v>562</v>
      </c>
      <c r="B563">
        <v>2015</v>
      </c>
      <c r="C563" t="s">
        <v>1656</v>
      </c>
      <c r="D563" t="str">
        <f>HYPERLINK("https://ota.tournamentsoftware.com/player-profile/644C3F8A-163C-4BEA-8EBD-9263F89347F9", "Link")</f>
        <v>Link</v>
      </c>
      <c r="E563" s="2">
        <v>194.23699999999999</v>
      </c>
      <c r="F563" s="3">
        <v>21</v>
      </c>
      <c r="G563" t="s">
        <v>29</v>
      </c>
      <c r="H563" t="s">
        <v>916</v>
      </c>
      <c r="I563">
        <v>33.799999999999997</v>
      </c>
      <c r="J563" s="3">
        <v>130</v>
      </c>
      <c r="K563" t="s">
        <v>1657</v>
      </c>
      <c r="L563" t="s">
        <v>382</v>
      </c>
      <c r="M563" s="4">
        <v>0.48</v>
      </c>
      <c r="N563" s="4">
        <v>0.65</v>
      </c>
    </row>
    <row r="564" spans="1:14" x14ac:dyDescent="0.4">
      <c r="A564">
        <v>563</v>
      </c>
      <c r="B564">
        <v>2012</v>
      </c>
      <c r="C564" t="s">
        <v>1658</v>
      </c>
      <c r="D564" t="str">
        <f>HYPERLINK("https://ota.tournamentsoftware.com/player-profile/7E53A46A-6CF0-4DB8-9382-FCE1966714A8", "Link")</f>
        <v>Link</v>
      </c>
      <c r="E564" s="2">
        <v>192.86600000000001</v>
      </c>
      <c r="F564" s="3">
        <v>18</v>
      </c>
      <c r="G564" t="s">
        <v>25</v>
      </c>
      <c r="H564" t="s">
        <v>289</v>
      </c>
      <c r="I564">
        <v>35.5</v>
      </c>
      <c r="J564" s="3">
        <v>78</v>
      </c>
      <c r="K564" t="s">
        <v>1659</v>
      </c>
      <c r="L564" t="s">
        <v>1292</v>
      </c>
      <c r="M564" s="4">
        <v>0.31</v>
      </c>
      <c r="N564" s="4">
        <v>0.31</v>
      </c>
    </row>
    <row r="565" spans="1:14" x14ac:dyDescent="0.4">
      <c r="A565">
        <v>564</v>
      </c>
      <c r="B565">
        <v>2016</v>
      </c>
      <c r="C565" t="s">
        <v>1660</v>
      </c>
      <c r="D565" t="str">
        <f>HYPERLINK("https://ota.tournamentsoftware.com/player-profile/C966D3AB-F944-4405-A712-C5FA591776A1", "Link")</f>
        <v>Link</v>
      </c>
      <c r="E565" s="2">
        <v>192.28899999999999</v>
      </c>
      <c r="F565" s="3">
        <v>13</v>
      </c>
      <c r="G565" t="s">
        <v>29</v>
      </c>
      <c r="H565" t="s">
        <v>1118</v>
      </c>
      <c r="I565">
        <v>32.200000000000003</v>
      </c>
      <c r="J565" s="3">
        <v>140</v>
      </c>
      <c r="K565" t="s">
        <v>1661</v>
      </c>
      <c r="L565" t="s">
        <v>1662</v>
      </c>
      <c r="M565" s="4">
        <v>0.72</v>
      </c>
      <c r="N565" s="4">
        <v>0.67</v>
      </c>
    </row>
    <row r="566" spans="1:14" x14ac:dyDescent="0.4">
      <c r="A566">
        <v>565</v>
      </c>
      <c r="B566">
        <v>2015</v>
      </c>
      <c r="C566" t="s">
        <v>1663</v>
      </c>
      <c r="D566" t="str">
        <f>HYPERLINK("https://ota.tournamentsoftware.com/player-profile/C2722647-7EFC-4E85-B2ED-55E77949843B", "Link")</f>
        <v>Link</v>
      </c>
      <c r="E566" s="2">
        <v>190.2</v>
      </c>
      <c r="F566" s="3">
        <v>26</v>
      </c>
      <c r="G566" t="s">
        <v>25</v>
      </c>
      <c r="H566" t="s">
        <v>840</v>
      </c>
      <c r="I566">
        <v>33.200000000000003</v>
      </c>
      <c r="J566" s="3">
        <v>194</v>
      </c>
      <c r="K566" t="s">
        <v>1664</v>
      </c>
      <c r="L566" t="s">
        <v>1665</v>
      </c>
      <c r="M566" s="4">
        <v>0.49</v>
      </c>
      <c r="N566" s="4">
        <v>0.48</v>
      </c>
    </row>
    <row r="567" spans="1:14" x14ac:dyDescent="0.4">
      <c r="A567">
        <v>566</v>
      </c>
      <c r="B567">
        <v>2012</v>
      </c>
      <c r="C567" t="s">
        <v>1666</v>
      </c>
      <c r="D567" t="str">
        <f>HYPERLINK("https://ota.tournamentsoftware.com/player-profile/6C7EB560-0C6C-49E6-9B42-49009727ED3D", "Link")</f>
        <v>Link</v>
      </c>
      <c r="E567" s="2">
        <v>189.48</v>
      </c>
      <c r="F567" s="3">
        <v>14</v>
      </c>
      <c r="G567" t="s">
        <v>29</v>
      </c>
      <c r="H567" t="s">
        <v>16</v>
      </c>
      <c r="I567">
        <v>33.700000000000003</v>
      </c>
      <c r="J567" s="3">
        <v>69</v>
      </c>
      <c r="K567" t="s">
        <v>1667</v>
      </c>
      <c r="L567" t="s">
        <v>720</v>
      </c>
      <c r="M567" s="4">
        <v>0.51</v>
      </c>
      <c r="N567" s="4">
        <v>0.44</v>
      </c>
    </row>
    <row r="568" spans="1:14" x14ac:dyDescent="0.4">
      <c r="A568">
        <v>567</v>
      </c>
      <c r="B568">
        <v>2014</v>
      </c>
      <c r="C568" t="s">
        <v>1668</v>
      </c>
      <c r="D568" t="str">
        <f>HYPERLINK("https://ota.tournamentsoftware.com/player-profile/30639279-6EB4-43A0-806A-9F7E6209EBA5", "Link")</f>
        <v>Link</v>
      </c>
      <c r="E568" s="2">
        <v>189.44900000000001</v>
      </c>
      <c r="F568" s="3">
        <v>11</v>
      </c>
      <c r="G568" t="s">
        <v>173</v>
      </c>
      <c r="H568" t="s">
        <v>1585</v>
      </c>
      <c r="I568">
        <v>34.299999999999997</v>
      </c>
      <c r="J568" s="3">
        <v>96</v>
      </c>
      <c r="K568" t="s">
        <v>1669</v>
      </c>
      <c r="L568" t="s">
        <v>761</v>
      </c>
      <c r="M568" s="4">
        <v>0.51</v>
      </c>
      <c r="N568" s="4">
        <v>0.46</v>
      </c>
    </row>
    <row r="569" spans="1:14" x14ac:dyDescent="0.4">
      <c r="A569">
        <v>568</v>
      </c>
      <c r="B569">
        <v>2013</v>
      </c>
      <c r="C569" t="s">
        <v>1670</v>
      </c>
      <c r="D569" t="str">
        <f>HYPERLINK("https://ota.tournamentsoftware.com/player-profile/8B592B8F-8B82-48EF-9CDD-0CBA40EBB412", "Link")</f>
        <v>Link</v>
      </c>
      <c r="E569" s="2">
        <v>188.358</v>
      </c>
      <c r="F569" s="3">
        <v>16</v>
      </c>
      <c r="G569" t="s">
        <v>25</v>
      </c>
      <c r="H569" t="s">
        <v>840</v>
      </c>
      <c r="I569">
        <v>36.4</v>
      </c>
      <c r="J569" s="3">
        <v>108</v>
      </c>
      <c r="K569" t="s">
        <v>1671</v>
      </c>
      <c r="L569" t="s">
        <v>1595</v>
      </c>
      <c r="M569" s="4">
        <v>0.28999999999999998</v>
      </c>
      <c r="N569" s="4">
        <v>0.33</v>
      </c>
    </row>
    <row r="570" spans="1:14" x14ac:dyDescent="0.4">
      <c r="A570">
        <v>569</v>
      </c>
      <c r="B570">
        <v>2011</v>
      </c>
      <c r="C570" t="s">
        <v>1672</v>
      </c>
      <c r="D570" t="str">
        <f>HYPERLINK("https://ota.tournamentsoftware.com/player-profile/D644E2C4-2699-4E79-BAFA-72B2D2A48C82", "Link")</f>
        <v>Link</v>
      </c>
      <c r="E570" s="2">
        <v>188.14500000000001</v>
      </c>
      <c r="F570" s="3">
        <v>5</v>
      </c>
      <c r="G570" t="s">
        <v>25</v>
      </c>
      <c r="H570" t="s">
        <v>754</v>
      </c>
      <c r="I570">
        <v>33.9</v>
      </c>
      <c r="J570" s="3">
        <v>104</v>
      </c>
      <c r="K570" t="s">
        <v>1673</v>
      </c>
      <c r="L570" t="s">
        <v>1674</v>
      </c>
      <c r="M570" s="4">
        <v>0.33</v>
      </c>
      <c r="N570" s="4">
        <v>0.2</v>
      </c>
    </row>
    <row r="571" spans="1:14" x14ac:dyDescent="0.4">
      <c r="A571">
        <v>570</v>
      </c>
      <c r="B571">
        <v>2016</v>
      </c>
      <c r="C571" t="s">
        <v>1675</v>
      </c>
      <c r="D571" t="str">
        <f>HYPERLINK("https://ota.tournamentsoftware.com/player-profile/6AB11A61-4852-4958-84E1-2773676D29C2", "Link")</f>
        <v>Link</v>
      </c>
      <c r="E571" s="2">
        <v>187.89</v>
      </c>
      <c r="F571" s="3">
        <v>28</v>
      </c>
      <c r="G571" t="s">
        <v>29</v>
      </c>
      <c r="H571" t="s">
        <v>256</v>
      </c>
      <c r="I571">
        <v>33.200000000000003</v>
      </c>
      <c r="J571" s="3">
        <v>108</v>
      </c>
      <c r="K571" t="s">
        <v>1676</v>
      </c>
      <c r="L571" t="s">
        <v>942</v>
      </c>
      <c r="M571" s="4">
        <v>0.41</v>
      </c>
      <c r="N571" s="4">
        <v>0.62</v>
      </c>
    </row>
    <row r="572" spans="1:14" x14ac:dyDescent="0.4">
      <c r="A572">
        <v>571</v>
      </c>
      <c r="B572">
        <v>2012</v>
      </c>
      <c r="C572" t="s">
        <v>1677</v>
      </c>
      <c r="D572" t="str">
        <f>HYPERLINK("https://ota.tournamentsoftware.com/player-profile/BF1A51BB-FF4F-417F-AE41-0914B75C7FF1", "Link")</f>
        <v>Link</v>
      </c>
      <c r="E572" s="2">
        <v>187.56200000000001</v>
      </c>
      <c r="F572" s="3">
        <v>12</v>
      </c>
      <c r="G572" t="s">
        <v>25</v>
      </c>
      <c r="H572" t="s">
        <v>60</v>
      </c>
      <c r="I572" t="s">
        <v>48</v>
      </c>
      <c r="J572" s="3">
        <v>19</v>
      </c>
      <c r="K572" t="s">
        <v>1678</v>
      </c>
      <c r="L572" t="s">
        <v>465</v>
      </c>
      <c r="M572" s="4">
        <v>0.26</v>
      </c>
      <c r="N572" s="4">
        <v>0.33</v>
      </c>
    </row>
    <row r="573" spans="1:14" x14ac:dyDescent="0.4">
      <c r="A573">
        <v>572</v>
      </c>
      <c r="B573">
        <v>2012</v>
      </c>
      <c r="C573" t="s">
        <v>1679</v>
      </c>
      <c r="D573" t="str">
        <f>HYPERLINK("https://ota.tournamentsoftware.com/player-profile/7A8F99DB-3ADA-4FDB-AC08-5095AAF01985", "Link")</f>
        <v>Link</v>
      </c>
      <c r="E573" s="2">
        <v>186.11799999999999</v>
      </c>
      <c r="F573" s="3">
        <v>13</v>
      </c>
      <c r="G573" t="s">
        <v>20</v>
      </c>
      <c r="H573" t="s">
        <v>260</v>
      </c>
      <c r="I573">
        <v>33.299999999999997</v>
      </c>
      <c r="J573" s="3">
        <v>74</v>
      </c>
      <c r="K573" t="s">
        <v>1680</v>
      </c>
      <c r="L573" t="s">
        <v>475</v>
      </c>
      <c r="M573" s="4">
        <v>0.43</v>
      </c>
      <c r="N573" s="4">
        <v>0.38</v>
      </c>
    </row>
    <row r="574" spans="1:14" x14ac:dyDescent="0.4">
      <c r="A574">
        <v>573</v>
      </c>
      <c r="B574">
        <v>2011</v>
      </c>
      <c r="C574" t="s">
        <v>1681</v>
      </c>
      <c r="D574" t="str">
        <f>HYPERLINK("https://ota.tournamentsoftware.com/player-profile/E191E22C-7EE5-4D88-A2F1-00D96AF1F545", "Link")</f>
        <v>Link</v>
      </c>
      <c r="E574" s="2">
        <v>185.64099999999999</v>
      </c>
      <c r="F574" s="3">
        <v>4</v>
      </c>
      <c r="G574" t="s">
        <v>29</v>
      </c>
      <c r="H574" t="s">
        <v>145</v>
      </c>
      <c r="I574" t="s">
        <v>48</v>
      </c>
      <c r="J574" s="3">
        <v>74</v>
      </c>
      <c r="K574" t="s">
        <v>1682</v>
      </c>
      <c r="L574" t="s">
        <v>31</v>
      </c>
      <c r="M574" s="4">
        <v>0.35</v>
      </c>
      <c r="N574" s="4">
        <v>0</v>
      </c>
    </row>
    <row r="575" spans="1:14" x14ac:dyDescent="0.4">
      <c r="A575">
        <v>574</v>
      </c>
      <c r="B575">
        <v>2013</v>
      </c>
      <c r="C575" t="s">
        <v>1683</v>
      </c>
      <c r="D575" t="str">
        <f>HYPERLINK("https://ota.tournamentsoftware.com/player-profile/5EF88718-BF69-42BC-A643-1C11174AD1CB", "Link")</f>
        <v>Link</v>
      </c>
      <c r="E575" s="2">
        <v>185.42599999999999</v>
      </c>
      <c r="F575" s="3">
        <v>1</v>
      </c>
      <c r="G575" t="s">
        <v>173</v>
      </c>
      <c r="H575" t="s">
        <v>174</v>
      </c>
      <c r="I575">
        <v>32.700000000000003</v>
      </c>
      <c r="J575" s="3">
        <v>26</v>
      </c>
      <c r="K575" t="s">
        <v>1684</v>
      </c>
      <c r="L575" t="s">
        <v>872</v>
      </c>
      <c r="M575" s="4">
        <v>0.5</v>
      </c>
      <c r="N575" s="4">
        <v>0.28999999999999998</v>
      </c>
    </row>
    <row r="576" spans="1:14" x14ac:dyDescent="0.4">
      <c r="A576">
        <v>575</v>
      </c>
      <c r="B576">
        <v>2013</v>
      </c>
      <c r="C576" t="s">
        <v>1685</v>
      </c>
      <c r="D576" t="str">
        <f>HYPERLINK("https://ota.tournamentsoftware.com/player-profile/42191CE6-0E1E-460D-80E0-9A7FF78DA6C6", "Link")</f>
        <v>Link</v>
      </c>
      <c r="E576" s="2">
        <v>185.03</v>
      </c>
      <c r="F576" s="3">
        <v>18</v>
      </c>
      <c r="G576" t="s">
        <v>25</v>
      </c>
      <c r="H576" t="s">
        <v>1686</v>
      </c>
      <c r="I576">
        <v>33.9</v>
      </c>
      <c r="J576" s="3">
        <v>68</v>
      </c>
      <c r="K576" t="s">
        <v>1687</v>
      </c>
      <c r="L576" t="s">
        <v>786</v>
      </c>
      <c r="M576" s="4">
        <v>0.47</v>
      </c>
      <c r="N576" s="4">
        <v>0.5</v>
      </c>
    </row>
    <row r="577" spans="1:14" x14ac:dyDescent="0.4">
      <c r="A577">
        <v>576</v>
      </c>
      <c r="B577">
        <v>2010</v>
      </c>
      <c r="C577" t="s">
        <v>1688</v>
      </c>
      <c r="D577" t="str">
        <f>HYPERLINK("https://ota.tournamentsoftware.com/player-profile/DD222163-F77D-4172-A0A1-A3412E02FDDB", "Link")</f>
        <v>Link</v>
      </c>
      <c r="E577" s="2">
        <v>184.43100000000001</v>
      </c>
      <c r="F577" s="3">
        <v>6</v>
      </c>
      <c r="G577" t="s">
        <v>29</v>
      </c>
      <c r="H577" t="s">
        <v>1689</v>
      </c>
      <c r="I577">
        <v>36.1</v>
      </c>
      <c r="J577" s="3">
        <v>86</v>
      </c>
      <c r="K577" t="s">
        <v>1690</v>
      </c>
      <c r="L577" t="s">
        <v>879</v>
      </c>
      <c r="M577" s="4">
        <v>0.2</v>
      </c>
      <c r="N577" s="4">
        <v>0</v>
      </c>
    </row>
    <row r="578" spans="1:14" x14ac:dyDescent="0.4">
      <c r="A578">
        <v>577</v>
      </c>
      <c r="B578">
        <v>2014</v>
      </c>
      <c r="C578" t="s">
        <v>1691</v>
      </c>
      <c r="D578" t="str">
        <f>HYPERLINK("https://ota.tournamentsoftware.com/player-profile/1DADE780-E571-45F1-BC6D-21B72637C0B7", "Link")</f>
        <v>Link</v>
      </c>
      <c r="E578" s="2">
        <v>184.21299999999999</v>
      </c>
      <c r="F578" s="3">
        <v>22</v>
      </c>
      <c r="G578" t="s">
        <v>25</v>
      </c>
      <c r="H578" t="s">
        <v>182</v>
      </c>
      <c r="I578" t="s">
        <v>48</v>
      </c>
      <c r="J578" s="3">
        <v>135</v>
      </c>
      <c r="K578" t="s">
        <v>1692</v>
      </c>
      <c r="L578" t="s">
        <v>1316</v>
      </c>
      <c r="M578" s="4">
        <v>0.31</v>
      </c>
      <c r="N578" s="4">
        <v>0.36</v>
      </c>
    </row>
    <row r="579" spans="1:14" x14ac:dyDescent="0.4">
      <c r="A579">
        <v>578</v>
      </c>
      <c r="B579">
        <v>2013</v>
      </c>
      <c r="C579" t="s">
        <v>1693</v>
      </c>
      <c r="D579" t="str">
        <f>HYPERLINK("https://ota.tournamentsoftware.com/player-profile/097573BE-64EA-4951-9B1B-3779B5938722", "Link")</f>
        <v>Link</v>
      </c>
      <c r="E579" s="2">
        <v>181.26300000000001</v>
      </c>
      <c r="F579" s="3">
        <v>15</v>
      </c>
      <c r="G579" t="s">
        <v>25</v>
      </c>
      <c r="H579" t="s">
        <v>26</v>
      </c>
      <c r="I579">
        <v>36.6</v>
      </c>
      <c r="J579" s="3">
        <v>56</v>
      </c>
      <c r="K579" t="s">
        <v>1694</v>
      </c>
      <c r="L579" t="s">
        <v>1354</v>
      </c>
      <c r="M579" s="4">
        <v>0.28999999999999998</v>
      </c>
      <c r="N579" s="4">
        <v>0.25</v>
      </c>
    </row>
    <row r="580" spans="1:14" x14ac:dyDescent="0.4">
      <c r="A580">
        <v>579</v>
      </c>
      <c r="B580">
        <v>2011</v>
      </c>
      <c r="C580" t="s">
        <v>1695</v>
      </c>
      <c r="D580" t="str">
        <f>HYPERLINK("https://ota.tournamentsoftware.com/player-profile/FA35405C-A67B-4370-8D4C-B5A825469595", "Link")</f>
        <v>Link</v>
      </c>
      <c r="E580" s="2">
        <v>181.09399999999999</v>
      </c>
      <c r="F580" s="3">
        <v>9</v>
      </c>
      <c r="G580" t="s">
        <v>25</v>
      </c>
      <c r="H580" t="s">
        <v>182</v>
      </c>
      <c r="I580">
        <v>29.6</v>
      </c>
      <c r="J580" s="3">
        <v>454</v>
      </c>
      <c r="K580" t="s">
        <v>1696</v>
      </c>
      <c r="L580" t="s">
        <v>1697</v>
      </c>
      <c r="M580" s="4">
        <v>0.55000000000000004</v>
      </c>
      <c r="N580" s="4">
        <v>0</v>
      </c>
    </row>
    <row r="581" spans="1:14" x14ac:dyDescent="0.4">
      <c r="A581">
        <v>580</v>
      </c>
      <c r="B581">
        <v>2010</v>
      </c>
      <c r="C581" t="s">
        <v>1698</v>
      </c>
      <c r="D581" t="str">
        <f>HYPERLINK("https://ota.tournamentsoftware.com/player-profile/AA3B5BE9-10C0-4DEB-9FE9-37B5C31ECBBB", "Link")</f>
        <v>Link</v>
      </c>
      <c r="E581" s="2">
        <v>180.666</v>
      </c>
      <c r="F581" s="3">
        <v>7</v>
      </c>
      <c r="G581" t="s">
        <v>29</v>
      </c>
      <c r="H581" t="s">
        <v>1699</v>
      </c>
      <c r="I581">
        <v>37.9</v>
      </c>
      <c r="J581" s="3">
        <v>33</v>
      </c>
      <c r="K581" t="s">
        <v>1700</v>
      </c>
      <c r="L581" t="s">
        <v>1701</v>
      </c>
      <c r="M581" s="4">
        <v>0.12</v>
      </c>
      <c r="N581" s="4">
        <v>0.13</v>
      </c>
    </row>
    <row r="582" spans="1:14" x14ac:dyDescent="0.4">
      <c r="A582">
        <v>581</v>
      </c>
      <c r="B582">
        <v>2013</v>
      </c>
      <c r="C582" t="s">
        <v>1702</v>
      </c>
      <c r="D582" t="str">
        <f>HYPERLINK("https://ota.tournamentsoftware.com/player-profile/21DD6509-0C4D-4711-BEB0-DC2D198520FD", "Link")</f>
        <v>Link</v>
      </c>
      <c r="E582" s="2">
        <v>179.691</v>
      </c>
      <c r="F582" s="3">
        <v>14</v>
      </c>
      <c r="G582" t="s">
        <v>25</v>
      </c>
      <c r="H582" t="s">
        <v>182</v>
      </c>
      <c r="I582" t="s">
        <v>48</v>
      </c>
      <c r="J582" s="3">
        <v>57</v>
      </c>
      <c r="K582" t="s">
        <v>1703</v>
      </c>
      <c r="L582" t="s">
        <v>1600</v>
      </c>
      <c r="M582" s="4">
        <v>0.16</v>
      </c>
      <c r="N582" s="4">
        <v>0.2</v>
      </c>
    </row>
    <row r="583" spans="1:14" x14ac:dyDescent="0.4">
      <c r="A583">
        <v>582</v>
      </c>
      <c r="B583">
        <v>2010</v>
      </c>
      <c r="C583" t="s">
        <v>1704</v>
      </c>
      <c r="D583" t="str">
        <f>HYPERLINK("https://ota.tournamentsoftware.com/player-profile/BDB04162-8776-4414-8FA6-C060553BD291", "Link")</f>
        <v>Link</v>
      </c>
      <c r="E583" s="2">
        <v>179.62700000000001</v>
      </c>
      <c r="F583" s="3">
        <v>5</v>
      </c>
      <c r="G583" t="s">
        <v>29</v>
      </c>
      <c r="H583" t="s">
        <v>1028</v>
      </c>
      <c r="I583">
        <v>37.200000000000003</v>
      </c>
      <c r="J583" s="3">
        <v>25</v>
      </c>
      <c r="K583" t="s">
        <v>1705</v>
      </c>
      <c r="L583" t="s">
        <v>1706</v>
      </c>
      <c r="M583" s="4">
        <v>0.12</v>
      </c>
      <c r="N583" s="4">
        <v>0</v>
      </c>
    </row>
    <row r="584" spans="1:14" x14ac:dyDescent="0.4">
      <c r="A584">
        <v>583</v>
      </c>
      <c r="B584">
        <v>2015</v>
      </c>
      <c r="C584" t="s">
        <v>1707</v>
      </c>
      <c r="D584" t="str">
        <f>HYPERLINK("https://ota.tournamentsoftware.com/player-profile/8DE19A2A-095B-4432-92FE-7CA64D28B7F1", "Link")</f>
        <v>Link</v>
      </c>
      <c r="E584" s="2">
        <v>179.45400000000001</v>
      </c>
      <c r="F584" s="3">
        <v>33</v>
      </c>
      <c r="G584" t="s">
        <v>29</v>
      </c>
      <c r="H584" t="s">
        <v>81</v>
      </c>
      <c r="I584">
        <v>36.700000000000003</v>
      </c>
      <c r="J584" s="3">
        <v>196</v>
      </c>
      <c r="K584" t="s">
        <v>1708</v>
      </c>
      <c r="L584" t="s">
        <v>1709</v>
      </c>
      <c r="M584" s="4">
        <v>0.35</v>
      </c>
      <c r="N584" s="4">
        <v>0.33</v>
      </c>
    </row>
    <row r="585" spans="1:14" x14ac:dyDescent="0.4">
      <c r="A585">
        <v>584</v>
      </c>
      <c r="B585">
        <v>2010</v>
      </c>
      <c r="C585" t="s">
        <v>1710</v>
      </c>
      <c r="D585" t="str">
        <f>HYPERLINK("https://ota.tournamentsoftware.com/player-profile/D8540978-FDEE-47A6-92EA-03655BFB4211", "Link")</f>
        <v>Link</v>
      </c>
      <c r="E585" s="2">
        <v>177.95699999999999</v>
      </c>
      <c r="F585" s="3">
        <v>3</v>
      </c>
      <c r="G585" t="s">
        <v>29</v>
      </c>
      <c r="H585" t="s">
        <v>374</v>
      </c>
      <c r="I585">
        <v>31.9</v>
      </c>
      <c r="J585" s="3">
        <v>32</v>
      </c>
      <c r="K585" t="s">
        <v>607</v>
      </c>
      <c r="L585" t="s">
        <v>625</v>
      </c>
      <c r="M585" s="4">
        <v>0.56000000000000005</v>
      </c>
      <c r="N585" s="4">
        <v>0.5</v>
      </c>
    </row>
    <row r="586" spans="1:14" x14ac:dyDescent="0.4">
      <c r="A586">
        <v>585</v>
      </c>
      <c r="B586">
        <v>2015</v>
      </c>
      <c r="C586" t="s">
        <v>1711</v>
      </c>
      <c r="D586" t="str">
        <f>HYPERLINK("https://ota.tournamentsoftware.com/player-profile/C0B1A514-EDF7-4907-9E4D-D3B8C705EB1D", "Link")</f>
        <v>Link</v>
      </c>
      <c r="E586" s="2">
        <v>177.941</v>
      </c>
      <c r="F586" s="3">
        <v>16</v>
      </c>
      <c r="G586" t="s">
        <v>109</v>
      </c>
      <c r="H586" t="s">
        <v>281</v>
      </c>
      <c r="I586">
        <v>36.299999999999997</v>
      </c>
      <c r="J586" s="3">
        <v>144</v>
      </c>
      <c r="K586" t="s">
        <v>1712</v>
      </c>
      <c r="L586" t="s">
        <v>1160</v>
      </c>
      <c r="M586" s="4">
        <v>0.47</v>
      </c>
      <c r="N586" s="4">
        <v>0.38</v>
      </c>
    </row>
    <row r="587" spans="1:14" x14ac:dyDescent="0.4">
      <c r="A587">
        <v>586</v>
      </c>
      <c r="B587">
        <v>2011</v>
      </c>
      <c r="C587" t="s">
        <v>1713</v>
      </c>
      <c r="D587" t="str">
        <f>HYPERLINK("https://ota.tournamentsoftware.com/player-profile/254034FF-F361-461B-BC6D-793B311D05B3", "Link")</f>
        <v>Link</v>
      </c>
      <c r="E587" s="2">
        <v>177.078</v>
      </c>
      <c r="F587" s="3">
        <v>8</v>
      </c>
      <c r="G587" t="s">
        <v>109</v>
      </c>
      <c r="H587" t="s">
        <v>1714</v>
      </c>
      <c r="I587">
        <v>37.700000000000003</v>
      </c>
      <c r="J587" s="3">
        <v>25</v>
      </c>
      <c r="K587" t="s">
        <v>1715</v>
      </c>
      <c r="L587" t="s">
        <v>1716</v>
      </c>
      <c r="M587" s="4">
        <v>0.08</v>
      </c>
      <c r="N587" s="4">
        <v>0.17</v>
      </c>
    </row>
    <row r="588" spans="1:14" x14ac:dyDescent="0.4">
      <c r="A588">
        <v>587</v>
      </c>
      <c r="B588">
        <v>2012</v>
      </c>
      <c r="C588" t="s">
        <v>1717</v>
      </c>
      <c r="D588" t="str">
        <f>HYPERLINK("https://ota.tournamentsoftware.com/player-profile/09C918D2-187B-42AF-836D-E31A35062CB3", "Link")</f>
        <v>Link</v>
      </c>
      <c r="E588" s="2">
        <v>176.12</v>
      </c>
      <c r="F588" s="3">
        <v>10</v>
      </c>
      <c r="G588" t="s">
        <v>109</v>
      </c>
      <c r="H588" t="s">
        <v>387</v>
      </c>
      <c r="I588">
        <v>35.9</v>
      </c>
      <c r="J588" s="3">
        <v>72</v>
      </c>
      <c r="K588" t="s">
        <v>1718</v>
      </c>
      <c r="L588" t="s">
        <v>1719</v>
      </c>
      <c r="M588" s="4">
        <v>0.38</v>
      </c>
      <c r="N588" s="4">
        <v>0.38</v>
      </c>
    </row>
    <row r="589" spans="1:14" x14ac:dyDescent="0.4">
      <c r="A589">
        <v>588</v>
      </c>
      <c r="B589">
        <v>2010</v>
      </c>
      <c r="C589" t="s">
        <v>1720</v>
      </c>
      <c r="D589" t="str">
        <f>HYPERLINK("https://ota.tournamentsoftware.com/player-profile/16538B96-67D4-49D8-ADA6-CEDE4D7A91A6", "Link")</f>
        <v>Link</v>
      </c>
      <c r="E589" s="2">
        <v>176.02699999999999</v>
      </c>
      <c r="F589" s="3">
        <v>3</v>
      </c>
      <c r="G589" t="s">
        <v>20</v>
      </c>
      <c r="H589" t="s">
        <v>16</v>
      </c>
      <c r="I589" t="s">
        <v>48</v>
      </c>
      <c r="J589" s="3">
        <v>10</v>
      </c>
      <c r="K589" t="s">
        <v>932</v>
      </c>
      <c r="L589" t="s">
        <v>1721</v>
      </c>
      <c r="M589" s="4">
        <v>0.3</v>
      </c>
      <c r="N589" s="4">
        <v>0</v>
      </c>
    </row>
    <row r="590" spans="1:14" x14ac:dyDescent="0.4">
      <c r="A590">
        <v>589</v>
      </c>
      <c r="B590">
        <v>2015</v>
      </c>
      <c r="C590" t="s">
        <v>1722</v>
      </c>
      <c r="D590" t="str">
        <f>HYPERLINK("https://ota.tournamentsoftware.com/player-profile/54340729-CFE8-4AE6-B072-4BD29664CBEC", "Link")</f>
        <v>Link</v>
      </c>
      <c r="E590" s="2">
        <v>175.79300000000001</v>
      </c>
      <c r="F590" s="3">
        <v>22</v>
      </c>
      <c r="G590" t="s">
        <v>29</v>
      </c>
      <c r="H590" t="s">
        <v>1028</v>
      </c>
      <c r="I590">
        <v>35.200000000000003</v>
      </c>
      <c r="J590" s="3">
        <v>127</v>
      </c>
      <c r="K590" t="s">
        <v>1723</v>
      </c>
      <c r="L590" t="s">
        <v>1026</v>
      </c>
      <c r="M590" s="4">
        <v>0.52</v>
      </c>
      <c r="N590" s="4">
        <v>0.51</v>
      </c>
    </row>
    <row r="591" spans="1:14" x14ac:dyDescent="0.4">
      <c r="A591">
        <v>590</v>
      </c>
      <c r="B591">
        <v>2014</v>
      </c>
      <c r="C591" t="s">
        <v>1724</v>
      </c>
      <c r="D591" t="str">
        <f>HYPERLINK("https://ota.tournamentsoftware.com/player-profile/05ABA68F-2EB2-4BFB-B6CA-677BDD1DCDCA", "Link")</f>
        <v>Link</v>
      </c>
      <c r="E591" s="2">
        <v>173.52199999999999</v>
      </c>
      <c r="F591" s="3">
        <v>35</v>
      </c>
      <c r="G591" t="s">
        <v>29</v>
      </c>
      <c r="H591" t="s">
        <v>532</v>
      </c>
      <c r="I591">
        <v>33.200000000000003</v>
      </c>
      <c r="J591" s="3">
        <v>186</v>
      </c>
      <c r="K591" t="s">
        <v>1725</v>
      </c>
      <c r="L591" t="s">
        <v>1726</v>
      </c>
      <c r="M591" s="4">
        <v>0.48</v>
      </c>
      <c r="N591" s="4">
        <v>0.53</v>
      </c>
    </row>
    <row r="592" spans="1:14" x14ac:dyDescent="0.4">
      <c r="A592">
        <v>591</v>
      </c>
      <c r="B592">
        <v>2015</v>
      </c>
      <c r="C592" t="s">
        <v>1727</v>
      </c>
      <c r="D592" t="str">
        <f>HYPERLINK("https://ota.tournamentsoftware.com/player-profile/B2E098BE-DB7E-4756-BD31-93298500E09D", "Link")</f>
        <v>Link</v>
      </c>
      <c r="E592" s="2">
        <v>173.154</v>
      </c>
      <c r="F592" s="3">
        <v>25</v>
      </c>
      <c r="G592" t="s">
        <v>29</v>
      </c>
      <c r="H592" t="s">
        <v>163</v>
      </c>
      <c r="I592">
        <v>32.1</v>
      </c>
      <c r="J592" s="3">
        <v>245</v>
      </c>
      <c r="K592" t="s">
        <v>1728</v>
      </c>
      <c r="L592" t="s">
        <v>1729</v>
      </c>
      <c r="M592" s="4">
        <v>0.67</v>
      </c>
      <c r="N592" s="4">
        <v>0.67</v>
      </c>
    </row>
    <row r="593" spans="1:14" x14ac:dyDescent="0.4">
      <c r="A593">
        <v>592</v>
      </c>
      <c r="B593">
        <v>2012</v>
      </c>
      <c r="C593" t="s">
        <v>1730</v>
      </c>
      <c r="D593" t="str">
        <f>HYPERLINK("https://ota.tournamentsoftware.com/player-profile/4B613A1C-293C-4701-B6BA-BEC5F8EBDA29", "Link")</f>
        <v>Link</v>
      </c>
      <c r="E593" s="2">
        <v>173.10499999999999</v>
      </c>
      <c r="F593" s="3">
        <v>13</v>
      </c>
      <c r="G593" t="s">
        <v>20</v>
      </c>
      <c r="H593" t="s">
        <v>900</v>
      </c>
      <c r="I593">
        <v>37.4</v>
      </c>
      <c r="J593" s="3">
        <v>44</v>
      </c>
      <c r="K593" t="s">
        <v>1731</v>
      </c>
      <c r="L593" t="s">
        <v>1732</v>
      </c>
      <c r="M593" s="4">
        <v>0.2</v>
      </c>
      <c r="N593" s="4">
        <v>0.2</v>
      </c>
    </row>
    <row r="594" spans="1:14" x14ac:dyDescent="0.4">
      <c r="A594">
        <v>593</v>
      </c>
      <c r="B594">
        <v>2012</v>
      </c>
      <c r="C594" t="s">
        <v>1733</v>
      </c>
      <c r="D594" t="str">
        <f>HYPERLINK("https://ota.tournamentsoftware.com/player-profile/485EA829-3893-4703-AF9A-1CF8D304CE5D", "Link")</f>
        <v>Link</v>
      </c>
      <c r="E594" s="2">
        <v>173.084</v>
      </c>
      <c r="F594" s="3">
        <v>12</v>
      </c>
      <c r="G594" t="s">
        <v>29</v>
      </c>
      <c r="H594" t="s">
        <v>256</v>
      </c>
      <c r="I594">
        <v>32.799999999999997</v>
      </c>
      <c r="J594" s="3">
        <v>125</v>
      </c>
      <c r="K594" t="s">
        <v>1734</v>
      </c>
      <c r="L594" t="s">
        <v>1735</v>
      </c>
      <c r="M594" s="4">
        <v>0.42</v>
      </c>
      <c r="N594" s="4">
        <v>0.46</v>
      </c>
    </row>
    <row r="595" spans="1:14" x14ac:dyDescent="0.4">
      <c r="A595">
        <v>594</v>
      </c>
      <c r="B595">
        <v>2010</v>
      </c>
      <c r="C595" t="s">
        <v>1736</v>
      </c>
      <c r="D595" t="str">
        <f>HYPERLINK("https://ota.tournamentsoftware.com/player-profile/F9499F01-9735-4402-A396-E20B850040D7", "Link")</f>
        <v>Link</v>
      </c>
      <c r="E595" s="2">
        <v>171.339</v>
      </c>
      <c r="F595" s="3">
        <v>2</v>
      </c>
      <c r="G595" t="s">
        <v>29</v>
      </c>
      <c r="H595" t="s">
        <v>88</v>
      </c>
      <c r="I595" t="s">
        <v>48</v>
      </c>
      <c r="J595" s="3">
        <v>31</v>
      </c>
      <c r="K595" t="s">
        <v>990</v>
      </c>
      <c r="L595" t="s">
        <v>433</v>
      </c>
      <c r="M595" s="4">
        <v>0.42</v>
      </c>
      <c r="N595" s="4">
        <v>0</v>
      </c>
    </row>
    <row r="596" spans="1:14" x14ac:dyDescent="0.4">
      <c r="A596">
        <v>595</v>
      </c>
      <c r="B596">
        <v>2013</v>
      </c>
      <c r="C596" t="s">
        <v>1737</v>
      </c>
      <c r="D596" t="str">
        <f>HYPERLINK("https://ota.tournamentsoftware.com/player-profile/C9532D29-EE9A-4084-ACB5-2DBCAD4DF862", "Link")</f>
        <v>Link</v>
      </c>
      <c r="E596" s="2">
        <v>171.17</v>
      </c>
      <c r="F596" s="3">
        <v>10</v>
      </c>
      <c r="G596" t="s">
        <v>25</v>
      </c>
      <c r="H596" t="s">
        <v>545</v>
      </c>
      <c r="I596">
        <v>35.4</v>
      </c>
      <c r="J596" s="3">
        <v>39</v>
      </c>
      <c r="K596" t="s">
        <v>1738</v>
      </c>
      <c r="L596" t="s">
        <v>1303</v>
      </c>
      <c r="M596" s="4">
        <v>0.33</v>
      </c>
      <c r="N596" s="4">
        <v>0.14000000000000001</v>
      </c>
    </row>
    <row r="597" spans="1:14" x14ac:dyDescent="0.4">
      <c r="A597">
        <v>596</v>
      </c>
      <c r="B597">
        <v>2015</v>
      </c>
      <c r="C597" t="s">
        <v>1739</v>
      </c>
      <c r="D597" t="str">
        <f>HYPERLINK("https://ota.tournamentsoftware.com/player-profile/13F65932-C96D-4F89-B571-4AA7315B2EEB", "Link")</f>
        <v>Link</v>
      </c>
      <c r="E597" s="2">
        <v>170.96700000000001</v>
      </c>
      <c r="F597" s="3">
        <v>14</v>
      </c>
      <c r="G597" t="s">
        <v>25</v>
      </c>
      <c r="H597" t="s">
        <v>182</v>
      </c>
      <c r="I597" t="s">
        <v>48</v>
      </c>
      <c r="J597" s="3">
        <v>74</v>
      </c>
      <c r="K597" t="s">
        <v>1740</v>
      </c>
      <c r="L597" t="s">
        <v>1455</v>
      </c>
      <c r="M597" s="4">
        <v>0.46</v>
      </c>
      <c r="N597" s="4">
        <v>0.37</v>
      </c>
    </row>
    <row r="598" spans="1:14" x14ac:dyDescent="0.4">
      <c r="A598">
        <v>597</v>
      </c>
      <c r="B598">
        <v>2016</v>
      </c>
      <c r="C598" t="s">
        <v>1741</v>
      </c>
      <c r="D598" t="str">
        <f>HYPERLINK("https://ota.tournamentsoftware.com/player-profile/15BEDAE4-AB73-4AE9-B466-BA81BCA77DB1", "Link")</f>
        <v>Link</v>
      </c>
      <c r="E598" s="2">
        <v>170.72</v>
      </c>
      <c r="F598" s="3">
        <v>21</v>
      </c>
      <c r="G598" t="s">
        <v>29</v>
      </c>
      <c r="H598" t="s">
        <v>374</v>
      </c>
      <c r="I598" t="s">
        <v>48</v>
      </c>
      <c r="J598" s="3">
        <v>149</v>
      </c>
      <c r="K598" t="s">
        <v>1742</v>
      </c>
      <c r="L598" t="s">
        <v>468</v>
      </c>
      <c r="M598" s="4">
        <v>0.54</v>
      </c>
      <c r="N598" s="4">
        <v>0.6</v>
      </c>
    </row>
    <row r="599" spans="1:14" x14ac:dyDescent="0.4">
      <c r="A599">
        <v>598</v>
      </c>
      <c r="B599">
        <v>2015</v>
      </c>
      <c r="C599" t="s">
        <v>1743</v>
      </c>
      <c r="D599" t="str">
        <f>HYPERLINK("https://ota.tournamentsoftware.com/player-profile/0BA4F4DB-3133-41DE-9EE3-39EB4A609399", "Link")</f>
        <v>Link</v>
      </c>
      <c r="E599" s="2">
        <v>170.614</v>
      </c>
      <c r="F599" s="3">
        <v>11</v>
      </c>
      <c r="G599" t="s">
        <v>173</v>
      </c>
      <c r="H599" t="s">
        <v>174</v>
      </c>
      <c r="I599">
        <v>35.9</v>
      </c>
      <c r="J599" s="3">
        <v>164</v>
      </c>
      <c r="K599" t="s">
        <v>1744</v>
      </c>
      <c r="L599" t="s">
        <v>1745</v>
      </c>
      <c r="M599" s="4">
        <v>0.4</v>
      </c>
      <c r="N599" s="4">
        <v>0.38</v>
      </c>
    </row>
    <row r="600" spans="1:14" x14ac:dyDescent="0.4">
      <c r="A600">
        <v>599</v>
      </c>
      <c r="B600">
        <v>2015</v>
      </c>
      <c r="C600" t="s">
        <v>1746</v>
      </c>
      <c r="D600" t="str">
        <f>HYPERLINK("https://ota.tournamentsoftware.com/player-profile/C34C7D86-0233-454A-9C07-62AD41AF32CE", "Link")</f>
        <v>Link</v>
      </c>
      <c r="E600" s="2">
        <v>169.41300000000001</v>
      </c>
      <c r="F600" s="3">
        <v>21</v>
      </c>
      <c r="G600" t="s">
        <v>25</v>
      </c>
      <c r="H600" t="s">
        <v>311</v>
      </c>
      <c r="I600">
        <v>35.799999999999997</v>
      </c>
      <c r="J600" s="3">
        <v>152</v>
      </c>
      <c r="K600" t="s">
        <v>1747</v>
      </c>
      <c r="L600" t="s">
        <v>1748</v>
      </c>
      <c r="M600" s="4">
        <v>0.43</v>
      </c>
      <c r="N600" s="4">
        <v>0.28999999999999998</v>
      </c>
    </row>
    <row r="601" spans="1:14" x14ac:dyDescent="0.4">
      <c r="A601">
        <v>600</v>
      </c>
      <c r="B601">
        <v>2012</v>
      </c>
      <c r="C601" t="s">
        <v>1749</v>
      </c>
      <c r="D601" t="str">
        <f>HYPERLINK("https://ota.tournamentsoftware.com/player-profile/FC8D1AE6-D9A0-409A-A095-1B2C12EDB359", "Link")</f>
        <v>Link</v>
      </c>
      <c r="E601" s="2">
        <v>168.577</v>
      </c>
      <c r="F601" s="3">
        <v>21</v>
      </c>
      <c r="G601" t="s">
        <v>29</v>
      </c>
      <c r="H601" t="s">
        <v>686</v>
      </c>
      <c r="I601">
        <v>36.4</v>
      </c>
      <c r="J601" s="3">
        <v>64</v>
      </c>
      <c r="K601" t="s">
        <v>1750</v>
      </c>
      <c r="L601" t="s">
        <v>1751</v>
      </c>
      <c r="M601" s="4">
        <v>0.34</v>
      </c>
      <c r="N601" s="4">
        <v>0.22</v>
      </c>
    </row>
    <row r="602" spans="1:14" x14ac:dyDescent="0.4">
      <c r="A602">
        <v>601</v>
      </c>
      <c r="B602">
        <v>2011</v>
      </c>
      <c r="C602" t="s">
        <v>1752</v>
      </c>
      <c r="D602" t="str">
        <f>HYPERLINK("https://ota.tournamentsoftware.com/player-profile/8A97FD61-59CB-45F6-BDD7-8EC7CE6BA574", "Link")</f>
        <v>Link</v>
      </c>
      <c r="E602" s="2">
        <v>168.00299999999999</v>
      </c>
      <c r="F602" s="3">
        <v>13</v>
      </c>
      <c r="G602" t="s">
        <v>29</v>
      </c>
      <c r="H602" t="s">
        <v>686</v>
      </c>
      <c r="I602" t="s">
        <v>48</v>
      </c>
      <c r="J602" s="3">
        <v>21</v>
      </c>
      <c r="K602" t="s">
        <v>1753</v>
      </c>
      <c r="L602" t="s">
        <v>1444</v>
      </c>
      <c r="M602" s="4">
        <v>0.14000000000000001</v>
      </c>
      <c r="N602" s="4">
        <v>0.22</v>
      </c>
    </row>
    <row r="603" spans="1:14" x14ac:dyDescent="0.4">
      <c r="A603">
        <v>602</v>
      </c>
      <c r="B603">
        <v>2015</v>
      </c>
      <c r="C603" t="s">
        <v>1754</v>
      </c>
      <c r="D603" t="str">
        <f>HYPERLINK("https://ota.tournamentsoftware.com/player-profile/328F4CA8-B72D-4F94-9BB6-3F666B5E0706", "Link")</f>
        <v>Link</v>
      </c>
      <c r="E603" s="2">
        <v>167.643</v>
      </c>
      <c r="F603" s="3">
        <v>18</v>
      </c>
      <c r="G603" t="s">
        <v>20</v>
      </c>
      <c r="H603" t="s">
        <v>127</v>
      </c>
      <c r="I603">
        <v>33.5</v>
      </c>
      <c r="J603" s="3">
        <v>165</v>
      </c>
      <c r="K603" t="s">
        <v>1755</v>
      </c>
      <c r="L603" t="s">
        <v>1756</v>
      </c>
      <c r="M603" s="4">
        <v>0.49</v>
      </c>
      <c r="N603" s="4">
        <v>0.45</v>
      </c>
    </row>
    <row r="604" spans="1:14" x14ac:dyDescent="0.4">
      <c r="A604">
        <v>603</v>
      </c>
      <c r="B604">
        <v>2014</v>
      </c>
      <c r="C604" t="s">
        <v>1757</v>
      </c>
      <c r="D604" t="str">
        <f>HYPERLINK("https://ota.tournamentsoftware.com/player-profile/EB893DF0-DCAD-49C8-BAB9-0D044090A656", "Link")</f>
        <v>Link</v>
      </c>
      <c r="E604" s="2">
        <v>167.58699999999999</v>
      </c>
      <c r="F604" s="3">
        <v>18</v>
      </c>
      <c r="G604" t="s">
        <v>29</v>
      </c>
      <c r="H604" t="s">
        <v>904</v>
      </c>
      <c r="I604">
        <v>34.200000000000003</v>
      </c>
      <c r="J604" s="3">
        <v>186</v>
      </c>
      <c r="K604" t="s">
        <v>1725</v>
      </c>
      <c r="L604" t="s">
        <v>1758</v>
      </c>
      <c r="M604" s="4">
        <v>0.48</v>
      </c>
      <c r="N604" s="4">
        <v>0.46</v>
      </c>
    </row>
    <row r="605" spans="1:14" x14ac:dyDescent="0.4">
      <c r="A605">
        <v>604</v>
      </c>
      <c r="B605">
        <v>2014</v>
      </c>
      <c r="C605" t="s">
        <v>1759</v>
      </c>
      <c r="D605" t="str">
        <f>HYPERLINK("https://ota.tournamentsoftware.com/player-profile/25E19F82-227F-4B69-8295-16AA8F4F207F", "Link")</f>
        <v>Link</v>
      </c>
      <c r="E605" s="2">
        <v>166.44</v>
      </c>
      <c r="F605" s="3">
        <v>22</v>
      </c>
      <c r="G605" t="s">
        <v>20</v>
      </c>
      <c r="H605" t="s">
        <v>43</v>
      </c>
      <c r="I605">
        <v>32.1</v>
      </c>
      <c r="J605" s="3">
        <v>174</v>
      </c>
      <c r="K605" t="s">
        <v>1760</v>
      </c>
      <c r="L605" t="s">
        <v>1761</v>
      </c>
      <c r="M605" s="4">
        <v>0.56999999999999995</v>
      </c>
      <c r="N605" s="4">
        <v>0.68</v>
      </c>
    </row>
    <row r="606" spans="1:14" x14ac:dyDescent="0.4">
      <c r="A606">
        <v>605</v>
      </c>
      <c r="B606">
        <v>2012</v>
      </c>
      <c r="C606" t="s">
        <v>1762</v>
      </c>
      <c r="D606" t="str">
        <f>HYPERLINK("https://ota.tournamentsoftware.com/player-profile/68E80EA0-3999-4449-8E0B-83CC30E1EF77", "Link")</f>
        <v>Link</v>
      </c>
      <c r="E606" s="2">
        <v>166.417</v>
      </c>
      <c r="F606" s="3">
        <v>15</v>
      </c>
      <c r="G606" t="s">
        <v>109</v>
      </c>
      <c r="H606" t="s">
        <v>281</v>
      </c>
      <c r="I606">
        <v>33.5</v>
      </c>
      <c r="J606" s="3">
        <v>80</v>
      </c>
      <c r="K606" t="s">
        <v>1763</v>
      </c>
      <c r="L606" t="s">
        <v>1764</v>
      </c>
      <c r="M606" s="4">
        <v>0.3</v>
      </c>
      <c r="N606" s="4">
        <v>0.42</v>
      </c>
    </row>
    <row r="607" spans="1:14" x14ac:dyDescent="0.4">
      <c r="A607">
        <v>606</v>
      </c>
      <c r="B607">
        <v>2011</v>
      </c>
      <c r="C607" t="s">
        <v>1765</v>
      </c>
      <c r="D607" t="str">
        <f>HYPERLINK("https://ota.tournamentsoftware.com/player-profile/B7B7CA55-0E26-42C5-BBF0-5809201AC846", "Link")</f>
        <v>Link</v>
      </c>
      <c r="E607" s="2">
        <v>166.22399999999999</v>
      </c>
      <c r="F607" s="3">
        <v>6</v>
      </c>
      <c r="G607" t="s">
        <v>29</v>
      </c>
      <c r="H607" t="s">
        <v>1766</v>
      </c>
      <c r="I607">
        <v>35.5</v>
      </c>
      <c r="J607" s="3">
        <v>23</v>
      </c>
      <c r="K607" t="s">
        <v>577</v>
      </c>
      <c r="L607" t="s">
        <v>642</v>
      </c>
      <c r="M607" s="4">
        <v>0.48</v>
      </c>
      <c r="N607" s="4">
        <v>0.45</v>
      </c>
    </row>
    <row r="608" spans="1:14" x14ac:dyDescent="0.4">
      <c r="A608">
        <v>607</v>
      </c>
      <c r="B608">
        <v>2014</v>
      </c>
      <c r="C608" t="s">
        <v>1767</v>
      </c>
      <c r="D608" t="str">
        <f>HYPERLINK("https://ota.tournamentsoftware.com/player-profile/5B95D38D-7E3D-4B41-B418-6B2307ED0863", "Link")</f>
        <v>Link</v>
      </c>
      <c r="E608" s="2">
        <v>166.10499999999999</v>
      </c>
      <c r="F608" s="3">
        <v>18</v>
      </c>
      <c r="G608" t="s">
        <v>25</v>
      </c>
      <c r="H608" t="s">
        <v>60</v>
      </c>
      <c r="I608">
        <v>35.1</v>
      </c>
      <c r="J608" s="3">
        <v>165</v>
      </c>
      <c r="K608" t="s">
        <v>1768</v>
      </c>
      <c r="L608" t="s">
        <v>1769</v>
      </c>
      <c r="M608" s="4">
        <v>0.43</v>
      </c>
      <c r="N608" s="4">
        <v>0.35</v>
      </c>
    </row>
    <row r="609" spans="1:14" x14ac:dyDescent="0.4">
      <c r="A609">
        <v>608</v>
      </c>
      <c r="B609">
        <v>2013</v>
      </c>
      <c r="C609" t="s">
        <v>1770</v>
      </c>
      <c r="D609" t="str">
        <f>HYPERLINK("https://ota.tournamentsoftware.com/player-profile/7D7985A7-C189-4AE6-9641-F7EA5AE89364", "Link")</f>
        <v>Link</v>
      </c>
      <c r="E609" s="2">
        <v>165.93700000000001</v>
      </c>
      <c r="F609" s="3">
        <v>7</v>
      </c>
      <c r="G609" t="s">
        <v>29</v>
      </c>
      <c r="H609" t="s">
        <v>1771</v>
      </c>
      <c r="I609">
        <v>38.5</v>
      </c>
      <c r="J609" s="3">
        <v>23</v>
      </c>
      <c r="K609" t="s">
        <v>601</v>
      </c>
      <c r="L609" t="s">
        <v>1772</v>
      </c>
      <c r="M609" s="4">
        <v>0.52</v>
      </c>
      <c r="N609" s="4">
        <v>0.41</v>
      </c>
    </row>
    <row r="610" spans="1:14" x14ac:dyDescent="0.4">
      <c r="A610">
        <v>609</v>
      </c>
      <c r="B610">
        <v>2011</v>
      </c>
      <c r="C610" t="s">
        <v>1773</v>
      </c>
      <c r="D610" t="str">
        <f>HYPERLINK("https://ota.tournamentsoftware.com/player-profile/43D2D0DF-5025-4EBD-B68D-3C6EB29A4487", "Link")</f>
        <v>Link</v>
      </c>
      <c r="E610" s="2">
        <v>163.34800000000001</v>
      </c>
      <c r="F610" s="3">
        <v>9</v>
      </c>
      <c r="G610" t="s">
        <v>29</v>
      </c>
      <c r="H610" t="s">
        <v>1470</v>
      </c>
      <c r="I610">
        <v>34.700000000000003</v>
      </c>
      <c r="J610" s="3">
        <v>104</v>
      </c>
      <c r="K610" t="s">
        <v>1774</v>
      </c>
      <c r="L610" t="s">
        <v>1775</v>
      </c>
      <c r="M610" s="4">
        <v>0.55000000000000004</v>
      </c>
      <c r="N610" s="4">
        <v>0.5</v>
      </c>
    </row>
    <row r="611" spans="1:14" x14ac:dyDescent="0.4">
      <c r="A611">
        <v>610</v>
      </c>
      <c r="B611">
        <v>2013</v>
      </c>
      <c r="C611" t="s">
        <v>1776</v>
      </c>
      <c r="D611" t="str">
        <f>HYPERLINK("https://ota.tournamentsoftware.com/player-profile/11CB5752-5D45-47AB-82AD-AC3D554873E5", "Link")</f>
        <v>Link</v>
      </c>
      <c r="E611" s="2">
        <v>163.167</v>
      </c>
      <c r="F611" s="3">
        <v>17</v>
      </c>
      <c r="G611" t="s">
        <v>20</v>
      </c>
      <c r="H611" t="s">
        <v>900</v>
      </c>
      <c r="I611">
        <v>34.799999999999997</v>
      </c>
      <c r="J611" s="3">
        <v>97</v>
      </c>
      <c r="K611" t="s">
        <v>1777</v>
      </c>
      <c r="L611" t="s">
        <v>1778</v>
      </c>
      <c r="M611" s="4">
        <v>0.53</v>
      </c>
      <c r="N611" s="4">
        <v>0.46</v>
      </c>
    </row>
    <row r="612" spans="1:14" x14ac:dyDescent="0.4">
      <c r="A612">
        <v>611</v>
      </c>
      <c r="B612">
        <v>2012</v>
      </c>
      <c r="C612" t="s">
        <v>1494</v>
      </c>
      <c r="D612" t="str">
        <f>HYPERLINK("https://ota.tournamentsoftware.com/player-profile/2BBD611B-69D1-4A97-AAC3-1D897498B21A", "Link")</f>
        <v>Link</v>
      </c>
      <c r="E612" s="2">
        <v>160.59100000000001</v>
      </c>
      <c r="F612" s="3">
        <v>11</v>
      </c>
      <c r="G612" t="s">
        <v>29</v>
      </c>
      <c r="H612" t="s">
        <v>1779</v>
      </c>
      <c r="I612" t="s">
        <v>48</v>
      </c>
      <c r="J612" s="3">
        <v>40</v>
      </c>
      <c r="K612" t="s">
        <v>631</v>
      </c>
      <c r="L612" t="s">
        <v>601</v>
      </c>
      <c r="M612" s="4">
        <v>0.45</v>
      </c>
      <c r="N612" s="4">
        <v>0.52</v>
      </c>
    </row>
    <row r="613" spans="1:14" x14ac:dyDescent="0.4">
      <c r="A613">
        <v>612</v>
      </c>
      <c r="B613">
        <v>2014</v>
      </c>
      <c r="C613" t="s">
        <v>1780</v>
      </c>
      <c r="D613" t="str">
        <f>HYPERLINK("https://ota.tournamentsoftware.com/player-profile/590DE091-4FC9-494D-A8AC-45DB223E71D8", "Link")</f>
        <v>Link</v>
      </c>
      <c r="E613" s="2">
        <v>160.30699999999999</v>
      </c>
      <c r="F613" s="3">
        <v>21</v>
      </c>
      <c r="G613" t="s">
        <v>25</v>
      </c>
      <c r="H613" t="s">
        <v>240</v>
      </c>
      <c r="I613" t="s">
        <v>48</v>
      </c>
      <c r="J613" s="3">
        <v>130</v>
      </c>
      <c r="K613" t="s">
        <v>1781</v>
      </c>
      <c r="L613" t="s">
        <v>1782</v>
      </c>
      <c r="M613" s="4">
        <v>0.32</v>
      </c>
      <c r="N613" s="4">
        <v>0.41</v>
      </c>
    </row>
    <row r="614" spans="1:14" x14ac:dyDescent="0.4">
      <c r="A614">
        <v>613</v>
      </c>
      <c r="B614">
        <v>2013</v>
      </c>
      <c r="C614" t="s">
        <v>1783</v>
      </c>
      <c r="D614" t="str">
        <f>HYPERLINK("https://ota.tournamentsoftware.com/player-profile/A487A79B-AB42-4314-BD75-6EFD99F64BC7", "Link")</f>
        <v>Link</v>
      </c>
      <c r="E614" s="2">
        <v>159.393</v>
      </c>
      <c r="F614" s="3">
        <v>25</v>
      </c>
      <c r="G614" t="s">
        <v>29</v>
      </c>
      <c r="H614" t="s">
        <v>1784</v>
      </c>
      <c r="I614">
        <v>36</v>
      </c>
      <c r="J614" s="3">
        <v>85</v>
      </c>
      <c r="K614" t="s">
        <v>1785</v>
      </c>
      <c r="L614" t="s">
        <v>972</v>
      </c>
      <c r="M614" s="4">
        <v>0.4</v>
      </c>
      <c r="N614" s="4">
        <v>0.4</v>
      </c>
    </row>
    <row r="615" spans="1:14" x14ac:dyDescent="0.4">
      <c r="A615">
        <v>614</v>
      </c>
      <c r="B615">
        <v>2013</v>
      </c>
      <c r="C615" t="s">
        <v>1786</v>
      </c>
      <c r="D615" t="str">
        <f>HYPERLINK("https://ota.tournamentsoftware.com/player-profile/81C22EEF-F10A-4447-AF45-2B9B6D1A7F5B", "Link")</f>
        <v>Link</v>
      </c>
      <c r="E615" s="2">
        <v>159.16</v>
      </c>
      <c r="F615" s="3">
        <v>9</v>
      </c>
      <c r="G615" t="s">
        <v>29</v>
      </c>
      <c r="H615" t="s">
        <v>679</v>
      </c>
      <c r="I615">
        <v>36.4</v>
      </c>
      <c r="J615" s="3">
        <v>99</v>
      </c>
      <c r="K615" t="s">
        <v>1787</v>
      </c>
      <c r="L615" t="s">
        <v>1788</v>
      </c>
      <c r="M615" s="4">
        <v>0.34</v>
      </c>
      <c r="N615" s="4">
        <v>0.33</v>
      </c>
    </row>
    <row r="616" spans="1:14" x14ac:dyDescent="0.4">
      <c r="A616">
        <v>615</v>
      </c>
      <c r="B616">
        <v>2017</v>
      </c>
      <c r="C616" t="s">
        <v>1789</v>
      </c>
      <c r="D616" t="str">
        <f>HYPERLINK("https://ota.tournamentsoftware.com/player-profile/C901A65F-E3DE-47DE-A4BC-21149FEBA20C", "Link")</f>
        <v>Link</v>
      </c>
      <c r="E616" s="2">
        <v>157.02600000000001</v>
      </c>
      <c r="F616" s="3">
        <v>4</v>
      </c>
      <c r="G616" t="s">
        <v>29</v>
      </c>
      <c r="H616" t="s">
        <v>16</v>
      </c>
      <c r="I616">
        <v>32.700000000000003</v>
      </c>
      <c r="J616" s="3">
        <v>16</v>
      </c>
      <c r="K616" t="s">
        <v>1790</v>
      </c>
      <c r="L616" t="s">
        <v>1791</v>
      </c>
      <c r="M616" s="4">
        <v>0.88</v>
      </c>
      <c r="N616" s="4">
        <v>0.83</v>
      </c>
    </row>
    <row r="617" spans="1:14" x14ac:dyDescent="0.4">
      <c r="A617">
        <v>616</v>
      </c>
      <c r="B617">
        <v>2015</v>
      </c>
      <c r="C617" t="s">
        <v>1792</v>
      </c>
      <c r="D617" t="str">
        <f>HYPERLINK("https://ota.tournamentsoftware.com/player-profile/5309814B-24E5-4F46-920F-74FD0DAF8C7D", "Link")</f>
        <v>Link</v>
      </c>
      <c r="E617" s="2">
        <v>156.089</v>
      </c>
      <c r="F617" s="3">
        <v>14</v>
      </c>
      <c r="G617" t="s">
        <v>25</v>
      </c>
      <c r="H617" t="s">
        <v>26</v>
      </c>
      <c r="I617">
        <v>34.200000000000003</v>
      </c>
      <c r="J617" s="3">
        <v>75</v>
      </c>
      <c r="K617" t="s">
        <v>1793</v>
      </c>
      <c r="L617" t="s">
        <v>604</v>
      </c>
      <c r="M617" s="4">
        <v>0.43</v>
      </c>
      <c r="N617" s="4">
        <v>0.5</v>
      </c>
    </row>
    <row r="618" spans="1:14" x14ac:dyDescent="0.4">
      <c r="A618">
        <v>617</v>
      </c>
      <c r="B618">
        <v>2010</v>
      </c>
      <c r="C618" t="s">
        <v>1794</v>
      </c>
      <c r="D618" t="str">
        <f>HYPERLINK("https://ota.tournamentsoftware.com/player-profile/A6276A03-A8FE-4DF3-8E20-654D67ED57B0", "Link")</f>
        <v>Link</v>
      </c>
      <c r="E618" s="2">
        <v>154.702</v>
      </c>
      <c r="F618" s="3">
        <v>4</v>
      </c>
      <c r="G618" t="s">
        <v>435</v>
      </c>
      <c r="H618" t="s">
        <v>1795</v>
      </c>
      <c r="I618">
        <v>32</v>
      </c>
      <c r="J618" s="3">
        <v>150</v>
      </c>
      <c r="K618" t="s">
        <v>1796</v>
      </c>
      <c r="L618" t="s">
        <v>1090</v>
      </c>
      <c r="M618" s="4">
        <v>0.36</v>
      </c>
      <c r="N618" s="4">
        <v>0.28999999999999998</v>
      </c>
    </row>
    <row r="619" spans="1:14" x14ac:dyDescent="0.4">
      <c r="A619">
        <v>618</v>
      </c>
      <c r="B619">
        <v>2013</v>
      </c>
      <c r="C619" t="s">
        <v>1797</v>
      </c>
      <c r="D619" t="str">
        <f>HYPERLINK("https://ota.tournamentsoftware.com/player-profile/C3F08CFB-765E-4234-8D01-16CB3E717037", "Link")</f>
        <v>Link</v>
      </c>
      <c r="E619" s="2">
        <v>154.59100000000001</v>
      </c>
      <c r="F619" s="3">
        <v>16</v>
      </c>
      <c r="G619" t="s">
        <v>29</v>
      </c>
      <c r="H619" t="s">
        <v>1798</v>
      </c>
      <c r="I619">
        <v>34.9</v>
      </c>
      <c r="J619" s="3">
        <v>130</v>
      </c>
      <c r="K619" t="s">
        <v>1799</v>
      </c>
      <c r="L619" t="s">
        <v>992</v>
      </c>
      <c r="M619" s="4">
        <v>0.4</v>
      </c>
      <c r="N619" s="4">
        <v>0.36</v>
      </c>
    </row>
    <row r="620" spans="1:14" x14ac:dyDescent="0.4">
      <c r="A620">
        <v>619</v>
      </c>
      <c r="B620">
        <v>2011</v>
      </c>
      <c r="C620" t="s">
        <v>1800</v>
      </c>
      <c r="D620" t="str">
        <f>HYPERLINK("https://ota.tournamentsoftware.com/player-profile/088AC1C2-77DB-4742-9D14-EC23604E69A3", "Link")</f>
        <v>Link</v>
      </c>
      <c r="E620" s="2">
        <v>153.923</v>
      </c>
      <c r="F620" s="3">
        <v>6</v>
      </c>
      <c r="G620" t="s">
        <v>25</v>
      </c>
      <c r="H620" t="s">
        <v>16</v>
      </c>
      <c r="I620">
        <v>34.700000000000003</v>
      </c>
      <c r="J620" s="3">
        <v>151</v>
      </c>
      <c r="K620" t="s">
        <v>1801</v>
      </c>
      <c r="L620" t="s">
        <v>433</v>
      </c>
      <c r="M620" s="4">
        <v>0.25</v>
      </c>
      <c r="N620" s="4">
        <v>0</v>
      </c>
    </row>
    <row r="621" spans="1:14" x14ac:dyDescent="0.4">
      <c r="A621">
        <v>620</v>
      </c>
      <c r="B621">
        <v>2013</v>
      </c>
      <c r="C621" t="s">
        <v>1802</v>
      </c>
      <c r="D621" t="str">
        <f>HYPERLINK("https://ota.tournamentsoftware.com/player-profile/668A29C0-962F-4DAD-B317-933787C09DCF", "Link")</f>
        <v>Link</v>
      </c>
      <c r="E621" s="2">
        <v>153.75299999999999</v>
      </c>
      <c r="F621" s="3">
        <v>7</v>
      </c>
      <c r="G621" t="s">
        <v>109</v>
      </c>
      <c r="H621" t="s">
        <v>281</v>
      </c>
      <c r="I621">
        <v>29.1</v>
      </c>
      <c r="J621" s="3">
        <v>162</v>
      </c>
      <c r="K621" t="s">
        <v>1803</v>
      </c>
      <c r="L621" t="s">
        <v>1270</v>
      </c>
      <c r="M621" s="4">
        <v>0.69</v>
      </c>
      <c r="N621" s="4">
        <v>0.6</v>
      </c>
    </row>
    <row r="622" spans="1:14" x14ac:dyDescent="0.4">
      <c r="A622">
        <v>621</v>
      </c>
      <c r="B622">
        <v>2017</v>
      </c>
      <c r="C622" t="s">
        <v>1804</v>
      </c>
      <c r="D622" t="str">
        <f>HYPERLINK("https://ota.tournamentsoftware.com/player-profile/6F913BA8-58BB-4BEE-9CA1-8E064E1332B8", "Link")</f>
        <v>Link</v>
      </c>
      <c r="E622" s="2">
        <v>153.154</v>
      </c>
      <c r="F622" s="3">
        <v>19</v>
      </c>
      <c r="G622" t="s">
        <v>29</v>
      </c>
      <c r="H622" t="s">
        <v>88</v>
      </c>
      <c r="I622">
        <v>33.4</v>
      </c>
      <c r="J622" s="3">
        <v>133</v>
      </c>
      <c r="K622" t="s">
        <v>1805</v>
      </c>
      <c r="L622" t="s">
        <v>1235</v>
      </c>
      <c r="M622" s="4">
        <v>0.64</v>
      </c>
      <c r="N622" s="4">
        <v>0.67</v>
      </c>
    </row>
    <row r="623" spans="1:14" x14ac:dyDescent="0.4">
      <c r="A623">
        <v>622</v>
      </c>
      <c r="B623">
        <v>2014</v>
      </c>
      <c r="C623" t="s">
        <v>1806</v>
      </c>
      <c r="D623" t="str">
        <f>HYPERLINK("https://ota.tournamentsoftware.com/player-profile/842B5763-8026-4DFF-BD28-4FA110C3A345", "Link")</f>
        <v>Link</v>
      </c>
      <c r="E623" s="2">
        <v>152.16200000000001</v>
      </c>
      <c r="F623" s="3">
        <v>17</v>
      </c>
      <c r="G623" t="s">
        <v>109</v>
      </c>
      <c r="H623" t="s">
        <v>110</v>
      </c>
      <c r="I623">
        <v>34.200000000000003</v>
      </c>
      <c r="J623" s="3">
        <v>150</v>
      </c>
      <c r="K623" t="s">
        <v>1807</v>
      </c>
      <c r="L623" t="s">
        <v>1808</v>
      </c>
      <c r="M623" s="4">
        <v>0.41</v>
      </c>
      <c r="N623" s="4">
        <v>0.39</v>
      </c>
    </row>
    <row r="624" spans="1:14" x14ac:dyDescent="0.4">
      <c r="A624">
        <v>623</v>
      </c>
      <c r="B624">
        <v>2011</v>
      </c>
      <c r="C624" t="s">
        <v>1809</v>
      </c>
      <c r="D624" t="str">
        <f>HYPERLINK("https://ota.tournamentsoftware.com/player-profile/CB32171D-C0B8-4E0D-906F-8721D45A7C99", "Link")</f>
        <v>Link</v>
      </c>
      <c r="E624" s="2">
        <v>151.02500000000001</v>
      </c>
      <c r="F624" s="3">
        <v>6</v>
      </c>
      <c r="G624" t="s">
        <v>29</v>
      </c>
      <c r="H624" t="s">
        <v>686</v>
      </c>
      <c r="I624">
        <v>33.700000000000003</v>
      </c>
      <c r="J624" s="3">
        <v>24</v>
      </c>
      <c r="K624" t="s">
        <v>1604</v>
      </c>
      <c r="L624" t="s">
        <v>1407</v>
      </c>
      <c r="M624" s="4">
        <v>0.42</v>
      </c>
      <c r="N624" s="4">
        <v>0.5</v>
      </c>
    </row>
    <row r="625" spans="1:14" x14ac:dyDescent="0.4">
      <c r="A625">
        <v>624</v>
      </c>
      <c r="B625">
        <v>2017</v>
      </c>
      <c r="C625" t="s">
        <v>1810</v>
      </c>
      <c r="D625" t="str">
        <f>HYPERLINK("https://ota.tournamentsoftware.com/player-profile/7A11DAF6-4353-49AB-8591-07AB86D11272", "Link")</f>
        <v>Link</v>
      </c>
      <c r="E625" s="2">
        <v>150.858</v>
      </c>
      <c r="F625" s="3">
        <v>37</v>
      </c>
      <c r="G625" t="s">
        <v>29</v>
      </c>
      <c r="H625" t="s">
        <v>81</v>
      </c>
      <c r="I625">
        <v>33.799999999999997</v>
      </c>
      <c r="J625" s="3">
        <v>186</v>
      </c>
      <c r="K625" t="s">
        <v>1811</v>
      </c>
      <c r="L625" t="s">
        <v>328</v>
      </c>
      <c r="M625" s="4">
        <v>0.69</v>
      </c>
      <c r="N625" s="4">
        <v>0.6</v>
      </c>
    </row>
    <row r="626" spans="1:14" x14ac:dyDescent="0.4">
      <c r="A626">
        <v>625</v>
      </c>
      <c r="B626">
        <v>2014</v>
      </c>
      <c r="C626" t="s">
        <v>1812</v>
      </c>
      <c r="D626" t="str">
        <f>HYPERLINK("https://ota.tournamentsoftware.com/player-profile/BF26AD2D-BAAC-4E82-A862-14039C1584F2", "Link")</f>
        <v>Link</v>
      </c>
      <c r="E626" s="2">
        <v>150.37899999999999</v>
      </c>
      <c r="F626" s="3">
        <v>33</v>
      </c>
      <c r="G626" t="s">
        <v>20</v>
      </c>
      <c r="H626" t="s">
        <v>1369</v>
      </c>
      <c r="I626" t="s">
        <v>48</v>
      </c>
      <c r="J626" s="3">
        <v>203</v>
      </c>
      <c r="K626" t="s">
        <v>1813</v>
      </c>
      <c r="L626" t="s">
        <v>1814</v>
      </c>
      <c r="M626" s="4">
        <v>0.47</v>
      </c>
      <c r="N626" s="4">
        <v>0.48</v>
      </c>
    </row>
    <row r="627" spans="1:14" x14ac:dyDescent="0.4">
      <c r="A627">
        <v>626</v>
      </c>
      <c r="B627">
        <v>2013</v>
      </c>
      <c r="C627" t="s">
        <v>1815</v>
      </c>
      <c r="D627" t="str">
        <f>HYPERLINK("https://ota.tournamentsoftware.com/player-profile/2C08ABD4-0853-4E02-96D6-4CBDA8251E2A", "Link")</f>
        <v>Link</v>
      </c>
      <c r="E627" s="2">
        <v>149.601</v>
      </c>
      <c r="F627" s="3">
        <v>17</v>
      </c>
      <c r="G627" t="s">
        <v>25</v>
      </c>
      <c r="H627" t="s">
        <v>1816</v>
      </c>
      <c r="I627">
        <v>36.9</v>
      </c>
      <c r="J627" s="3">
        <v>93</v>
      </c>
      <c r="K627" t="s">
        <v>1817</v>
      </c>
      <c r="L627" t="s">
        <v>1818</v>
      </c>
      <c r="M627" s="4">
        <v>0.41</v>
      </c>
      <c r="N627" s="4">
        <v>0.28999999999999998</v>
      </c>
    </row>
    <row r="628" spans="1:14" x14ac:dyDescent="0.4">
      <c r="A628">
        <v>627</v>
      </c>
      <c r="B628">
        <v>2013</v>
      </c>
      <c r="C628" t="s">
        <v>1819</v>
      </c>
      <c r="D628" t="str">
        <f>HYPERLINK("https://ota.tournamentsoftware.com/player-profile/F5E1E459-0A97-4C1F-8F37-D8CEF64DA1FA", "Link")</f>
        <v>Link</v>
      </c>
      <c r="E628" s="2">
        <v>149.571</v>
      </c>
      <c r="F628" s="3">
        <v>14</v>
      </c>
      <c r="G628" t="s">
        <v>109</v>
      </c>
      <c r="H628" t="s">
        <v>110</v>
      </c>
      <c r="I628">
        <v>33.799999999999997</v>
      </c>
      <c r="J628" s="3">
        <v>165</v>
      </c>
      <c r="K628" t="s">
        <v>1755</v>
      </c>
      <c r="L628" t="s">
        <v>610</v>
      </c>
      <c r="M628" s="4">
        <v>0.49</v>
      </c>
      <c r="N628" s="4">
        <v>0.28999999999999998</v>
      </c>
    </row>
    <row r="629" spans="1:14" x14ac:dyDescent="0.4">
      <c r="A629">
        <v>628</v>
      </c>
      <c r="B629">
        <v>2011</v>
      </c>
      <c r="C629" t="s">
        <v>1820</v>
      </c>
      <c r="D629" t="str">
        <f>HYPERLINK("https://ota.tournamentsoftware.com/player-profile/152351E5-106F-4209-B3C2-A72A5DA63802", "Link")</f>
        <v>Link</v>
      </c>
      <c r="E629" s="2">
        <v>147.809</v>
      </c>
      <c r="F629" s="3">
        <v>2</v>
      </c>
      <c r="G629" t="s">
        <v>20</v>
      </c>
      <c r="H629" t="s">
        <v>252</v>
      </c>
      <c r="I629">
        <v>40</v>
      </c>
      <c r="J629" s="3">
        <v>20</v>
      </c>
      <c r="K629" t="s">
        <v>921</v>
      </c>
      <c r="L629" t="s">
        <v>1721</v>
      </c>
      <c r="M629" s="4">
        <v>0.15</v>
      </c>
      <c r="N629" s="4">
        <v>0</v>
      </c>
    </row>
    <row r="630" spans="1:14" x14ac:dyDescent="0.4">
      <c r="A630">
        <v>629</v>
      </c>
      <c r="B630">
        <v>2011</v>
      </c>
      <c r="C630" t="s">
        <v>1821</v>
      </c>
      <c r="D630" t="str">
        <f>HYPERLINK("https://ota.tournamentsoftware.com/player-profile/96653DA1-B71B-4E20-99F4-699EAFB83180", "Link")</f>
        <v>Link</v>
      </c>
      <c r="E630" s="2">
        <v>147.72</v>
      </c>
      <c r="F630" s="3">
        <v>3</v>
      </c>
      <c r="G630" t="s">
        <v>20</v>
      </c>
      <c r="H630" t="s">
        <v>1822</v>
      </c>
      <c r="I630">
        <v>36.4</v>
      </c>
      <c r="J630" s="3">
        <v>25</v>
      </c>
      <c r="K630" t="s">
        <v>1823</v>
      </c>
      <c r="L630" t="s">
        <v>433</v>
      </c>
      <c r="M630" s="4">
        <v>0.24</v>
      </c>
      <c r="N630" s="4">
        <v>0</v>
      </c>
    </row>
    <row r="631" spans="1:14" x14ac:dyDescent="0.4">
      <c r="A631">
        <v>630</v>
      </c>
      <c r="B631">
        <v>2015</v>
      </c>
      <c r="C631" t="s">
        <v>1824</v>
      </c>
      <c r="D631" t="str">
        <f>HYPERLINK("https://ota.tournamentsoftware.com/player-profile/63AAF188-F773-4BFA-B6C2-97B1DFB9AF3A", "Link")</f>
        <v>Link</v>
      </c>
      <c r="E631" s="2">
        <v>147.38900000000001</v>
      </c>
      <c r="F631" s="3">
        <v>9</v>
      </c>
      <c r="G631" t="s">
        <v>185</v>
      </c>
      <c r="H631" t="s">
        <v>186</v>
      </c>
      <c r="I631">
        <v>38.6</v>
      </c>
      <c r="J631" s="3">
        <v>64</v>
      </c>
      <c r="K631" t="s">
        <v>1825</v>
      </c>
      <c r="L631" t="s">
        <v>1826</v>
      </c>
      <c r="M631" s="4">
        <v>0.14000000000000001</v>
      </c>
      <c r="N631" s="4">
        <v>7.0000000000000007E-2</v>
      </c>
    </row>
    <row r="632" spans="1:14" x14ac:dyDescent="0.4">
      <c r="A632">
        <v>631</v>
      </c>
      <c r="B632">
        <v>2012</v>
      </c>
      <c r="C632" t="s">
        <v>1827</v>
      </c>
      <c r="D632" t="str">
        <f>HYPERLINK("https://ota.tournamentsoftware.com/player-profile/A3792AFC-E32E-4258-8FA9-9240021C6401", "Link")</f>
        <v>Link</v>
      </c>
      <c r="E632" s="2">
        <v>147.089</v>
      </c>
      <c r="F632" s="3">
        <v>5</v>
      </c>
      <c r="G632" t="s">
        <v>25</v>
      </c>
      <c r="H632" t="s">
        <v>60</v>
      </c>
      <c r="I632">
        <v>38.5</v>
      </c>
      <c r="J632" s="3">
        <v>87</v>
      </c>
      <c r="K632" t="s">
        <v>1828</v>
      </c>
      <c r="L632" t="s">
        <v>1721</v>
      </c>
      <c r="M632" s="4">
        <v>0.16</v>
      </c>
      <c r="N632" s="4">
        <v>0</v>
      </c>
    </row>
    <row r="633" spans="1:14" x14ac:dyDescent="0.4">
      <c r="A633">
        <v>632</v>
      </c>
      <c r="B633">
        <v>2012</v>
      </c>
      <c r="C633" t="s">
        <v>1829</v>
      </c>
      <c r="D633" t="str">
        <f>HYPERLINK("https://ota.tournamentsoftware.com/player-profile/FD8FB9A4-F5D9-4A90-AA66-D8E6FC3D3BC5", "Link")</f>
        <v>Link</v>
      </c>
      <c r="E633" s="2">
        <v>146.36199999999999</v>
      </c>
      <c r="F633" s="3">
        <v>4</v>
      </c>
      <c r="G633" t="s">
        <v>369</v>
      </c>
      <c r="H633" t="s">
        <v>16</v>
      </c>
      <c r="I633">
        <v>35.799999999999997</v>
      </c>
      <c r="J633" s="3">
        <v>50</v>
      </c>
      <c r="K633" t="s">
        <v>1830</v>
      </c>
      <c r="L633" t="s">
        <v>1097</v>
      </c>
      <c r="M633" s="4">
        <v>0.2</v>
      </c>
      <c r="N633" s="4">
        <v>0.36</v>
      </c>
    </row>
    <row r="634" spans="1:14" x14ac:dyDescent="0.4">
      <c r="A634">
        <v>633</v>
      </c>
      <c r="B634">
        <v>2015</v>
      </c>
      <c r="C634" t="s">
        <v>1831</v>
      </c>
      <c r="D634" t="str">
        <f>HYPERLINK("https://ota.tournamentsoftware.com/player-profile/F174A813-5F1A-4B24-BDFF-B6E6160FE2EB", "Link")</f>
        <v>Link</v>
      </c>
      <c r="E634" s="2">
        <v>146.06800000000001</v>
      </c>
      <c r="F634" s="3">
        <v>10</v>
      </c>
      <c r="G634" t="s">
        <v>29</v>
      </c>
      <c r="H634" t="s">
        <v>88</v>
      </c>
      <c r="I634">
        <v>35.700000000000003</v>
      </c>
      <c r="J634" s="3">
        <v>82</v>
      </c>
      <c r="K634" t="s">
        <v>1832</v>
      </c>
      <c r="L634" t="s">
        <v>1455</v>
      </c>
      <c r="M634" s="4">
        <v>0.34</v>
      </c>
      <c r="N634" s="4">
        <v>0.37</v>
      </c>
    </row>
    <row r="635" spans="1:14" x14ac:dyDescent="0.4">
      <c r="A635">
        <v>634</v>
      </c>
      <c r="B635">
        <v>2015</v>
      </c>
      <c r="C635" t="s">
        <v>1833</v>
      </c>
      <c r="D635" t="str">
        <f>HYPERLINK("https://ota.tournamentsoftware.com/player-profile/7D4D2F10-C754-4560-B490-903FD1C70ADE", "Link")</f>
        <v>Link</v>
      </c>
      <c r="E635" s="2">
        <v>145.952</v>
      </c>
      <c r="F635" s="3">
        <v>16</v>
      </c>
      <c r="G635" t="s">
        <v>109</v>
      </c>
      <c r="H635" t="s">
        <v>281</v>
      </c>
      <c r="I635">
        <v>34.9</v>
      </c>
      <c r="J635" s="3">
        <v>149</v>
      </c>
      <c r="K635" t="s">
        <v>1834</v>
      </c>
      <c r="L635" t="s">
        <v>864</v>
      </c>
      <c r="M635" s="4">
        <v>0.41</v>
      </c>
      <c r="N635" s="4">
        <v>0.39</v>
      </c>
    </row>
    <row r="636" spans="1:14" x14ac:dyDescent="0.4">
      <c r="A636">
        <v>635</v>
      </c>
      <c r="B636">
        <v>2010</v>
      </c>
      <c r="C636" t="s">
        <v>1835</v>
      </c>
      <c r="D636" t="str">
        <f>HYPERLINK("https://ota.tournamentsoftware.com/player-profile/5A8881EB-CABB-4F59-9A13-FD3E57105D6F", "Link")</f>
        <v>Link</v>
      </c>
      <c r="E636" s="2">
        <v>145.607</v>
      </c>
      <c r="F636" s="3">
        <v>3</v>
      </c>
      <c r="G636" t="s">
        <v>29</v>
      </c>
      <c r="H636" t="s">
        <v>679</v>
      </c>
      <c r="I636" t="s">
        <v>48</v>
      </c>
      <c r="J636" s="3">
        <v>55</v>
      </c>
      <c r="K636" t="s">
        <v>1836</v>
      </c>
      <c r="L636" t="s">
        <v>31</v>
      </c>
      <c r="M636" s="4">
        <v>0.45</v>
      </c>
      <c r="N636" s="4">
        <v>0</v>
      </c>
    </row>
    <row r="637" spans="1:14" x14ac:dyDescent="0.4">
      <c r="A637">
        <v>636</v>
      </c>
      <c r="B637">
        <v>2014</v>
      </c>
      <c r="C637" t="s">
        <v>1837</v>
      </c>
      <c r="D637" t="str">
        <f>HYPERLINK("https://ota.tournamentsoftware.com/player-profile/F633DD21-A0C3-4CAC-B560-7222D07936B7", "Link")</f>
        <v>Link</v>
      </c>
      <c r="E637" s="2">
        <v>145.261</v>
      </c>
      <c r="F637" s="3">
        <v>15</v>
      </c>
      <c r="G637" t="s">
        <v>109</v>
      </c>
      <c r="H637" t="s">
        <v>110</v>
      </c>
      <c r="I637">
        <v>33.5</v>
      </c>
      <c r="J637" s="3">
        <v>111</v>
      </c>
      <c r="K637" t="s">
        <v>1838</v>
      </c>
      <c r="L637" t="s">
        <v>990</v>
      </c>
      <c r="M637" s="4">
        <v>0.39</v>
      </c>
      <c r="N637" s="4">
        <v>0.42</v>
      </c>
    </row>
    <row r="638" spans="1:14" x14ac:dyDescent="0.4">
      <c r="A638">
        <v>637</v>
      </c>
      <c r="B638">
        <v>2014</v>
      </c>
      <c r="C638" t="s">
        <v>1839</v>
      </c>
      <c r="D638" t="str">
        <f>HYPERLINK("https://ota.tournamentsoftware.com/player-profile/E305B648-4548-45A0-B043-623E1473C7E5", "Link")</f>
        <v>Link</v>
      </c>
      <c r="E638" s="2">
        <v>144.62100000000001</v>
      </c>
      <c r="F638" s="3">
        <v>24</v>
      </c>
      <c r="G638" t="s">
        <v>109</v>
      </c>
      <c r="H638" t="s">
        <v>281</v>
      </c>
      <c r="I638">
        <v>35.200000000000003</v>
      </c>
      <c r="J638" s="3">
        <v>130</v>
      </c>
      <c r="K638" t="s">
        <v>1840</v>
      </c>
      <c r="L638" t="s">
        <v>1011</v>
      </c>
      <c r="M638" s="4">
        <v>0.37</v>
      </c>
      <c r="N638" s="4">
        <v>0.46</v>
      </c>
    </row>
    <row r="639" spans="1:14" x14ac:dyDescent="0.4">
      <c r="A639">
        <v>638</v>
      </c>
      <c r="B639">
        <v>2012</v>
      </c>
      <c r="C639" t="s">
        <v>1841</v>
      </c>
      <c r="D639" t="str">
        <f>HYPERLINK("https://ota.tournamentsoftware.com/player-profile/BCC8B346-C184-4803-9CC2-592D143B667B", "Link")</f>
        <v>Link</v>
      </c>
      <c r="E639" s="2">
        <v>144.06</v>
      </c>
      <c r="F639" s="3">
        <v>16</v>
      </c>
      <c r="G639" t="s">
        <v>29</v>
      </c>
      <c r="H639" t="s">
        <v>1652</v>
      </c>
      <c r="I639">
        <v>33.9</v>
      </c>
      <c r="J639" s="3">
        <v>52</v>
      </c>
      <c r="K639" t="s">
        <v>1842</v>
      </c>
      <c r="L639" t="s">
        <v>1756</v>
      </c>
      <c r="M639" s="4">
        <v>0.5</v>
      </c>
      <c r="N639" s="4">
        <v>0.45</v>
      </c>
    </row>
    <row r="640" spans="1:14" x14ac:dyDescent="0.4">
      <c r="A640">
        <v>639</v>
      </c>
      <c r="B640">
        <v>2016</v>
      </c>
      <c r="C640" t="s">
        <v>1843</v>
      </c>
      <c r="D640" t="str">
        <f>HYPERLINK("https://ota.tournamentsoftware.com/player-profile/4CDBB0C3-0D8B-4D7B-873C-3CEC65600FA0", "Link")</f>
        <v>Link</v>
      </c>
      <c r="E640" s="2">
        <v>144.05799999999999</v>
      </c>
      <c r="F640" s="3">
        <v>12</v>
      </c>
      <c r="G640" t="s">
        <v>25</v>
      </c>
      <c r="H640" t="s">
        <v>60</v>
      </c>
      <c r="I640">
        <v>32.9</v>
      </c>
      <c r="J640" s="3">
        <v>92</v>
      </c>
      <c r="K640" t="s">
        <v>1844</v>
      </c>
      <c r="L640" t="s">
        <v>107</v>
      </c>
      <c r="M640" s="4">
        <v>0.61</v>
      </c>
      <c r="N640" s="4">
        <v>0.74</v>
      </c>
    </row>
    <row r="641" spans="1:14" x14ac:dyDescent="0.4">
      <c r="A641">
        <v>640</v>
      </c>
      <c r="B641">
        <v>2015</v>
      </c>
      <c r="C641" t="s">
        <v>1845</v>
      </c>
      <c r="D641" t="str">
        <f>HYPERLINK("https://ota.tournamentsoftware.com/player-profile/6AC05446-ED22-406D-9460-F30F3FC8B16B", "Link")</f>
        <v>Link</v>
      </c>
      <c r="E641" s="2">
        <v>144.01300000000001</v>
      </c>
      <c r="F641" s="3">
        <v>19</v>
      </c>
      <c r="G641" t="s">
        <v>29</v>
      </c>
      <c r="H641" t="s">
        <v>88</v>
      </c>
      <c r="I641">
        <v>35.5</v>
      </c>
      <c r="J641" s="3">
        <v>106</v>
      </c>
      <c r="K641" t="s">
        <v>1846</v>
      </c>
      <c r="L641" t="s">
        <v>414</v>
      </c>
      <c r="M641" s="4">
        <v>0.43</v>
      </c>
      <c r="N641" s="4">
        <v>0.43</v>
      </c>
    </row>
    <row r="642" spans="1:14" x14ac:dyDescent="0.4">
      <c r="A642">
        <v>641</v>
      </c>
      <c r="B642">
        <v>2014</v>
      </c>
      <c r="C642" t="s">
        <v>1847</v>
      </c>
      <c r="D642" t="str">
        <f>HYPERLINK("https://ota.tournamentsoftware.com/player-profile/BD51254A-E036-424C-B89A-FB47A73C0DC5", "Link")</f>
        <v>Link</v>
      </c>
      <c r="E642" s="2">
        <v>143.60400000000001</v>
      </c>
      <c r="F642" s="3">
        <v>5</v>
      </c>
      <c r="G642" t="s">
        <v>25</v>
      </c>
      <c r="H642" t="s">
        <v>60</v>
      </c>
      <c r="I642">
        <v>33.5</v>
      </c>
      <c r="J642" s="3">
        <v>92</v>
      </c>
      <c r="K642" t="s">
        <v>1848</v>
      </c>
      <c r="L642" t="s">
        <v>1284</v>
      </c>
      <c r="M642" s="4">
        <v>0.5</v>
      </c>
      <c r="N642" s="4">
        <v>0.33</v>
      </c>
    </row>
    <row r="643" spans="1:14" x14ac:dyDescent="0.4">
      <c r="A643">
        <v>642</v>
      </c>
      <c r="B643">
        <v>2015</v>
      </c>
      <c r="C643" t="s">
        <v>1849</v>
      </c>
      <c r="D643" t="str">
        <f>HYPERLINK("https://ota.tournamentsoftware.com/player-profile/8628DB3F-1A24-45E1-A1F1-727AFFD593DD", "Link")</f>
        <v>Link</v>
      </c>
      <c r="E643" s="2">
        <v>142.59399999999999</v>
      </c>
      <c r="F643" s="3">
        <v>11</v>
      </c>
      <c r="G643" t="s">
        <v>29</v>
      </c>
      <c r="H643" t="s">
        <v>141</v>
      </c>
      <c r="I643">
        <v>35.799999999999997</v>
      </c>
      <c r="J643" s="3">
        <v>102</v>
      </c>
      <c r="K643" t="s">
        <v>1641</v>
      </c>
      <c r="L643" t="s">
        <v>1303</v>
      </c>
      <c r="M643" s="4">
        <v>0.47</v>
      </c>
      <c r="N643" s="4">
        <v>0.14000000000000001</v>
      </c>
    </row>
    <row r="644" spans="1:14" x14ac:dyDescent="0.4">
      <c r="A644">
        <v>643</v>
      </c>
      <c r="B644">
        <v>2012</v>
      </c>
      <c r="C644" t="s">
        <v>1850</v>
      </c>
      <c r="D644" t="str">
        <f>HYPERLINK("https://ota.tournamentsoftware.com/player-profile/3302BB60-F05F-49BC-8E90-BE5B9A063576", "Link")</f>
        <v>Link</v>
      </c>
      <c r="E644" s="2">
        <v>141.45500000000001</v>
      </c>
      <c r="F644" s="3">
        <v>6</v>
      </c>
      <c r="G644" t="s">
        <v>29</v>
      </c>
      <c r="H644" t="s">
        <v>391</v>
      </c>
      <c r="I644" t="s">
        <v>48</v>
      </c>
      <c r="J644" s="3">
        <v>80</v>
      </c>
      <c r="K644" t="s">
        <v>1851</v>
      </c>
      <c r="L644" t="s">
        <v>677</v>
      </c>
      <c r="M644" s="4">
        <v>0.45</v>
      </c>
      <c r="N644" s="4">
        <v>0.56999999999999995</v>
      </c>
    </row>
    <row r="645" spans="1:14" x14ac:dyDescent="0.4">
      <c r="A645">
        <v>644</v>
      </c>
      <c r="B645">
        <v>2011</v>
      </c>
      <c r="C645" t="s">
        <v>1852</v>
      </c>
      <c r="D645" t="str">
        <f>HYPERLINK("https://ota.tournamentsoftware.com/player-profile/83ACB9EE-3CF7-4804-82F9-DEF9BAA9D943", "Link")</f>
        <v>Link</v>
      </c>
      <c r="E645" s="2">
        <v>141.43</v>
      </c>
      <c r="F645" s="3">
        <v>2</v>
      </c>
      <c r="G645" t="s">
        <v>20</v>
      </c>
      <c r="H645" t="s">
        <v>16</v>
      </c>
      <c r="I645">
        <v>32.700000000000003</v>
      </c>
      <c r="J645" s="3">
        <v>104</v>
      </c>
      <c r="K645" t="s">
        <v>1673</v>
      </c>
      <c r="L645" t="s">
        <v>1721</v>
      </c>
      <c r="M645" s="4">
        <v>0.33</v>
      </c>
      <c r="N645" s="4">
        <v>0</v>
      </c>
    </row>
    <row r="646" spans="1:14" x14ac:dyDescent="0.4">
      <c r="A646">
        <v>645</v>
      </c>
      <c r="B646">
        <v>2010</v>
      </c>
      <c r="C646" t="s">
        <v>1853</v>
      </c>
      <c r="D646" t="str">
        <f>HYPERLINK("https://ota.tournamentsoftware.com/player-profile/977639A9-F54E-4429-8A2A-AA93827FA467", "Link")</f>
        <v>Link</v>
      </c>
      <c r="E646" s="2">
        <v>140.19900000000001</v>
      </c>
      <c r="F646" s="3">
        <v>4</v>
      </c>
      <c r="G646" t="s">
        <v>29</v>
      </c>
      <c r="H646" t="s">
        <v>277</v>
      </c>
      <c r="I646" t="s">
        <v>48</v>
      </c>
      <c r="J646" s="3">
        <v>10</v>
      </c>
      <c r="K646" t="s">
        <v>1854</v>
      </c>
      <c r="L646" t="s">
        <v>879</v>
      </c>
      <c r="M646" s="4">
        <v>0.2</v>
      </c>
      <c r="N646" s="4">
        <v>0</v>
      </c>
    </row>
    <row r="647" spans="1:14" x14ac:dyDescent="0.4">
      <c r="A647">
        <v>646</v>
      </c>
      <c r="B647">
        <v>2013</v>
      </c>
      <c r="C647" t="s">
        <v>1855</v>
      </c>
      <c r="D647" t="str">
        <f>HYPERLINK("https://ota.tournamentsoftware.com/player-profile/EE5E7036-3979-48DF-A095-8C40584653EF", "Link")</f>
        <v>Link</v>
      </c>
      <c r="E647" s="2">
        <v>138.41399999999999</v>
      </c>
      <c r="F647" s="3">
        <v>14</v>
      </c>
      <c r="G647" t="s">
        <v>25</v>
      </c>
      <c r="H647" t="s">
        <v>1856</v>
      </c>
      <c r="I647">
        <v>39.200000000000003</v>
      </c>
      <c r="J647" s="3">
        <v>24</v>
      </c>
      <c r="K647" t="s">
        <v>1857</v>
      </c>
      <c r="L647" t="s">
        <v>1858</v>
      </c>
      <c r="M647" s="4">
        <v>0.12</v>
      </c>
      <c r="N647" s="4">
        <v>0</v>
      </c>
    </row>
    <row r="648" spans="1:14" x14ac:dyDescent="0.4">
      <c r="A648">
        <v>647</v>
      </c>
      <c r="B648">
        <v>2012</v>
      </c>
      <c r="C648" t="s">
        <v>1859</v>
      </c>
      <c r="D648" t="str">
        <f>HYPERLINK("https://ota.tournamentsoftware.com/player-profile/E8C882F3-740E-4E76-A249-7FC036AFD1F8", "Link")</f>
        <v>Link</v>
      </c>
      <c r="E648" s="2">
        <v>138.244</v>
      </c>
      <c r="F648" s="3">
        <v>12</v>
      </c>
      <c r="G648" t="s">
        <v>29</v>
      </c>
      <c r="H648" t="s">
        <v>91</v>
      </c>
      <c r="I648">
        <v>35.200000000000003</v>
      </c>
      <c r="J648" s="3">
        <v>71</v>
      </c>
      <c r="K648" t="s">
        <v>1860</v>
      </c>
      <c r="L648" t="s">
        <v>1323</v>
      </c>
      <c r="M648" s="4">
        <v>0.27</v>
      </c>
      <c r="N648" s="4">
        <v>0.32</v>
      </c>
    </row>
    <row r="649" spans="1:14" x14ac:dyDescent="0.4">
      <c r="A649">
        <v>648</v>
      </c>
      <c r="B649">
        <v>2013</v>
      </c>
      <c r="C649" t="s">
        <v>1861</v>
      </c>
      <c r="D649" t="str">
        <f>HYPERLINK("https://ota.tournamentsoftware.com/player-profile/C2E6156A-D7ED-45A1-B728-0FA7A8D2D6A1", "Link")</f>
        <v>Link</v>
      </c>
      <c r="E649" s="2">
        <v>138.10599999999999</v>
      </c>
      <c r="F649" s="3">
        <v>11</v>
      </c>
      <c r="G649" t="s">
        <v>20</v>
      </c>
      <c r="H649" t="s">
        <v>809</v>
      </c>
      <c r="I649">
        <v>34.799999999999997</v>
      </c>
      <c r="J649" s="3">
        <v>28</v>
      </c>
      <c r="K649" t="s">
        <v>963</v>
      </c>
      <c r="L649" t="s">
        <v>514</v>
      </c>
      <c r="M649" s="4">
        <v>0.32</v>
      </c>
      <c r="N649" s="4">
        <v>0.32</v>
      </c>
    </row>
    <row r="650" spans="1:14" x14ac:dyDescent="0.4">
      <c r="A650">
        <v>649</v>
      </c>
      <c r="B650">
        <v>2011</v>
      </c>
      <c r="C650" t="s">
        <v>1862</v>
      </c>
      <c r="D650" t="str">
        <f>HYPERLINK("https://ota.tournamentsoftware.com/player-profile/E1D10F9D-FEA9-4668-8B46-C211B380DD1A", "Link")</f>
        <v>Link</v>
      </c>
      <c r="E650" s="2">
        <v>137.971</v>
      </c>
      <c r="F650" s="3">
        <v>5</v>
      </c>
      <c r="G650" t="s">
        <v>29</v>
      </c>
      <c r="H650" t="s">
        <v>1863</v>
      </c>
      <c r="I650">
        <v>38.4</v>
      </c>
      <c r="J650" s="3">
        <v>41</v>
      </c>
      <c r="K650" t="s">
        <v>1864</v>
      </c>
      <c r="L650" t="s">
        <v>1865</v>
      </c>
      <c r="M650" s="4">
        <v>0.15</v>
      </c>
      <c r="N650" s="4">
        <v>0.19</v>
      </c>
    </row>
    <row r="651" spans="1:14" x14ac:dyDescent="0.4">
      <c r="A651">
        <v>650</v>
      </c>
      <c r="B651">
        <v>2012</v>
      </c>
      <c r="C651" t="s">
        <v>1866</v>
      </c>
      <c r="D651" t="str">
        <f>HYPERLINK("https://ota.tournamentsoftware.com/player-profile/D6C2A4EC-5F86-459B-A81E-7C31F47AD78D", "Link")</f>
        <v>Link</v>
      </c>
      <c r="E651" s="2">
        <v>135.33099999999999</v>
      </c>
      <c r="F651" s="3">
        <v>9</v>
      </c>
      <c r="G651" t="s">
        <v>25</v>
      </c>
      <c r="H651" t="s">
        <v>137</v>
      </c>
      <c r="I651">
        <v>35</v>
      </c>
      <c r="J651" s="3">
        <v>71</v>
      </c>
      <c r="K651" t="s">
        <v>1867</v>
      </c>
      <c r="L651" t="s">
        <v>1251</v>
      </c>
      <c r="M651" s="4">
        <v>0.21</v>
      </c>
      <c r="N651" s="4">
        <v>0.35</v>
      </c>
    </row>
    <row r="652" spans="1:14" x14ac:dyDescent="0.4">
      <c r="A652">
        <v>651</v>
      </c>
      <c r="B652">
        <v>2012</v>
      </c>
      <c r="C652" t="s">
        <v>1868</v>
      </c>
      <c r="D652" t="str">
        <f>HYPERLINK("https://ota.tournamentsoftware.com/player-profile/665F5A6C-3B65-4541-A5CF-6A84DC235104", "Link")</f>
        <v>Link</v>
      </c>
      <c r="E652" s="2">
        <v>134.94399999999999</v>
      </c>
      <c r="F652" s="3">
        <v>22</v>
      </c>
      <c r="G652" t="s">
        <v>20</v>
      </c>
      <c r="H652" t="s">
        <v>1869</v>
      </c>
      <c r="I652">
        <v>35.6</v>
      </c>
      <c r="J652" s="3">
        <v>115</v>
      </c>
      <c r="K652" t="s">
        <v>1870</v>
      </c>
      <c r="L652" t="s">
        <v>1871</v>
      </c>
      <c r="M652" s="4">
        <v>0.17</v>
      </c>
      <c r="N652" s="4">
        <v>0.23</v>
      </c>
    </row>
    <row r="653" spans="1:14" x14ac:dyDescent="0.4">
      <c r="A653">
        <v>652</v>
      </c>
      <c r="B653">
        <v>2014</v>
      </c>
      <c r="C653" t="s">
        <v>1872</v>
      </c>
      <c r="D653" t="str">
        <f>HYPERLINK("https://ota.tournamentsoftware.com/player-profile/870FB276-B8EA-4586-B0F5-B2318D4B1CD6", "Link")</f>
        <v>Link</v>
      </c>
      <c r="E653" s="2">
        <v>134.37</v>
      </c>
      <c r="F653" s="3">
        <v>17</v>
      </c>
      <c r="G653" t="s">
        <v>25</v>
      </c>
      <c r="H653" t="s">
        <v>85</v>
      </c>
      <c r="I653">
        <v>33.200000000000003</v>
      </c>
      <c r="J653" s="3">
        <v>86</v>
      </c>
      <c r="K653" t="s">
        <v>1873</v>
      </c>
      <c r="L653" t="s">
        <v>1874</v>
      </c>
      <c r="M653" s="4">
        <v>0.51</v>
      </c>
      <c r="N653" s="4">
        <v>0.69</v>
      </c>
    </row>
    <row r="654" spans="1:14" x14ac:dyDescent="0.4">
      <c r="A654">
        <v>653</v>
      </c>
      <c r="B654">
        <v>2015</v>
      </c>
      <c r="C654" t="s">
        <v>1875</v>
      </c>
      <c r="D654" t="str">
        <f>HYPERLINK("https://ota.tournamentsoftware.com/player-profile/563B79E2-A8FE-4D68-B224-8FB6861F2D7F", "Link")</f>
        <v>Link</v>
      </c>
      <c r="E654" s="2">
        <v>134.24100000000001</v>
      </c>
      <c r="F654" s="3">
        <v>14</v>
      </c>
      <c r="G654" t="s">
        <v>25</v>
      </c>
      <c r="H654" t="s">
        <v>754</v>
      </c>
      <c r="I654">
        <v>40</v>
      </c>
      <c r="J654" s="3">
        <v>90</v>
      </c>
      <c r="K654" t="s">
        <v>1876</v>
      </c>
      <c r="L654" t="s">
        <v>1424</v>
      </c>
      <c r="M654" s="4">
        <v>0.18</v>
      </c>
      <c r="N654" s="4">
        <v>0.1</v>
      </c>
    </row>
    <row r="655" spans="1:14" x14ac:dyDescent="0.4">
      <c r="A655">
        <v>654</v>
      </c>
      <c r="B655">
        <v>2011</v>
      </c>
      <c r="C655" t="s">
        <v>1877</v>
      </c>
      <c r="D655" t="str">
        <f>HYPERLINK("https://ota.tournamentsoftware.com/player-profile/FFF2A635-BF3D-4458-8F55-DD193C31F25B", "Link")</f>
        <v>Link</v>
      </c>
      <c r="E655" s="2">
        <v>133.86500000000001</v>
      </c>
      <c r="F655" s="3">
        <v>3</v>
      </c>
      <c r="G655" t="s">
        <v>29</v>
      </c>
      <c r="H655" t="s">
        <v>145</v>
      </c>
      <c r="I655">
        <v>32.4</v>
      </c>
      <c r="J655" s="3">
        <v>62</v>
      </c>
      <c r="K655" t="s">
        <v>1878</v>
      </c>
      <c r="L655" t="s">
        <v>76</v>
      </c>
      <c r="M655" s="4">
        <v>0.48</v>
      </c>
      <c r="N655" s="4">
        <v>0.6</v>
      </c>
    </row>
    <row r="656" spans="1:14" x14ac:dyDescent="0.4">
      <c r="A656">
        <v>655</v>
      </c>
      <c r="B656">
        <v>2015</v>
      </c>
      <c r="C656" t="s">
        <v>1879</v>
      </c>
      <c r="D656" t="str">
        <f>HYPERLINK("https://ota.tournamentsoftware.com/player-profile/33B72483-1E5D-4043-8C06-81F76F0504E6", "Link")</f>
        <v>Link</v>
      </c>
      <c r="E656" s="2">
        <v>133.81700000000001</v>
      </c>
      <c r="F656" s="3">
        <v>4</v>
      </c>
      <c r="G656" t="s">
        <v>15</v>
      </c>
      <c r="H656" t="s">
        <v>271</v>
      </c>
      <c r="I656">
        <v>38.299999999999997</v>
      </c>
      <c r="J656" s="3">
        <v>63</v>
      </c>
      <c r="K656" t="s">
        <v>1880</v>
      </c>
      <c r="L656" t="s">
        <v>1444</v>
      </c>
      <c r="M656" s="4">
        <v>0.32</v>
      </c>
      <c r="N656" s="4">
        <v>0.22</v>
      </c>
    </row>
    <row r="657" spans="1:14" x14ac:dyDescent="0.4">
      <c r="A657">
        <v>656</v>
      </c>
      <c r="B657">
        <v>2014</v>
      </c>
      <c r="C657" t="s">
        <v>1881</v>
      </c>
      <c r="D657" t="str">
        <f>HYPERLINK("https://ota.tournamentsoftware.com/player-profile/6748F07C-41D2-4D26-87D9-8636B60DC389", "Link")</f>
        <v>Link</v>
      </c>
      <c r="E657" s="2">
        <v>132.874</v>
      </c>
      <c r="F657" s="3">
        <v>11</v>
      </c>
      <c r="G657" t="s">
        <v>25</v>
      </c>
      <c r="H657" t="s">
        <v>16</v>
      </c>
      <c r="I657">
        <v>32.4</v>
      </c>
      <c r="J657" s="3">
        <v>124</v>
      </c>
      <c r="K657" t="s">
        <v>1882</v>
      </c>
      <c r="L657" t="s">
        <v>642</v>
      </c>
      <c r="M657" s="4">
        <v>0.4</v>
      </c>
      <c r="N657" s="4">
        <v>0.45</v>
      </c>
    </row>
    <row r="658" spans="1:14" x14ac:dyDescent="0.4">
      <c r="A658">
        <v>657</v>
      </c>
      <c r="B658">
        <v>2013</v>
      </c>
      <c r="C658" t="s">
        <v>1883</v>
      </c>
      <c r="D658" t="str">
        <f>HYPERLINK("https://ota.tournamentsoftware.com/player-profile/03475BC0-CC60-490A-8E94-0D82D43C8EDC", "Link")</f>
        <v>Link</v>
      </c>
      <c r="E658" s="2">
        <v>132.49700000000001</v>
      </c>
      <c r="F658" s="3">
        <v>17</v>
      </c>
      <c r="G658" t="s">
        <v>20</v>
      </c>
      <c r="H658" t="s">
        <v>736</v>
      </c>
      <c r="I658" t="s">
        <v>48</v>
      </c>
      <c r="J658" s="3">
        <v>117</v>
      </c>
      <c r="K658" t="s">
        <v>1884</v>
      </c>
      <c r="L658" t="s">
        <v>1644</v>
      </c>
      <c r="M658" s="4">
        <v>0.49</v>
      </c>
      <c r="N658" s="4">
        <v>0.43</v>
      </c>
    </row>
    <row r="659" spans="1:14" x14ac:dyDescent="0.4">
      <c r="A659">
        <v>658</v>
      </c>
      <c r="B659">
        <v>2013</v>
      </c>
      <c r="C659" t="s">
        <v>1885</v>
      </c>
      <c r="D659" t="str">
        <f>HYPERLINK("https://ota.tournamentsoftware.com/player-profile/5CF92DF6-CB3B-4E9E-9D03-B9CC6481DEBA", "Link")</f>
        <v>Link</v>
      </c>
      <c r="E659" s="2">
        <v>131.911</v>
      </c>
      <c r="F659" s="3">
        <v>11</v>
      </c>
      <c r="G659" t="s">
        <v>25</v>
      </c>
      <c r="H659" t="s">
        <v>840</v>
      </c>
      <c r="I659">
        <v>37.4</v>
      </c>
      <c r="J659" s="3">
        <v>21</v>
      </c>
      <c r="K659" t="s">
        <v>1595</v>
      </c>
      <c r="L659" t="s">
        <v>777</v>
      </c>
      <c r="M659" s="4">
        <v>0.33</v>
      </c>
      <c r="N659" s="4">
        <v>0.21</v>
      </c>
    </row>
    <row r="660" spans="1:14" x14ac:dyDescent="0.4">
      <c r="A660">
        <v>659</v>
      </c>
      <c r="B660">
        <v>2015</v>
      </c>
      <c r="C660" t="s">
        <v>1886</v>
      </c>
      <c r="D660" t="str">
        <f>HYPERLINK("https://ota.tournamentsoftware.com/player-profile/C8684F68-4EF9-414D-BDA9-FC73111C2DB8", "Link")</f>
        <v>Link</v>
      </c>
      <c r="E660" s="2">
        <v>131.36199999999999</v>
      </c>
      <c r="F660" s="3">
        <v>18</v>
      </c>
      <c r="G660" t="s">
        <v>20</v>
      </c>
      <c r="H660" t="s">
        <v>43</v>
      </c>
      <c r="I660">
        <v>31.9</v>
      </c>
      <c r="J660" s="3">
        <v>122</v>
      </c>
      <c r="K660" t="s">
        <v>1887</v>
      </c>
      <c r="L660" t="s">
        <v>180</v>
      </c>
      <c r="M660" s="4">
        <v>0.59</v>
      </c>
      <c r="N660" s="4">
        <v>0.68</v>
      </c>
    </row>
    <row r="661" spans="1:14" x14ac:dyDescent="0.4">
      <c r="A661">
        <v>660</v>
      </c>
      <c r="B661">
        <v>2014</v>
      </c>
      <c r="C661" t="s">
        <v>1888</v>
      </c>
      <c r="D661" t="str">
        <f>HYPERLINK("https://ota.tournamentsoftware.com/player-profile/D959AEB1-2F72-4DC3-9FC0-C7595A80CDA0", "Link")</f>
        <v>Link</v>
      </c>
      <c r="E661" s="2">
        <v>130.887</v>
      </c>
      <c r="F661" s="3">
        <v>6</v>
      </c>
      <c r="G661" t="s">
        <v>15</v>
      </c>
      <c r="H661" t="s">
        <v>271</v>
      </c>
      <c r="I661">
        <v>35.799999999999997</v>
      </c>
      <c r="J661" s="3">
        <v>91</v>
      </c>
      <c r="K661" t="s">
        <v>1889</v>
      </c>
      <c r="L661" t="s">
        <v>717</v>
      </c>
      <c r="M661" s="4">
        <v>0.25</v>
      </c>
      <c r="N661" s="4">
        <v>0.27</v>
      </c>
    </row>
    <row r="662" spans="1:14" x14ac:dyDescent="0.4">
      <c r="A662">
        <v>661</v>
      </c>
      <c r="B662">
        <v>2016</v>
      </c>
      <c r="C662" t="s">
        <v>1890</v>
      </c>
      <c r="D662" t="str">
        <f>HYPERLINK("https://ota.tournamentsoftware.com/player-profile/2C6CBEBE-C5D2-4EC5-B283-CB703335834E", "Link")</f>
        <v>Link</v>
      </c>
      <c r="E662" s="2">
        <v>130.82400000000001</v>
      </c>
      <c r="F662" s="3">
        <v>17</v>
      </c>
      <c r="G662" t="s">
        <v>29</v>
      </c>
      <c r="H662" t="s">
        <v>199</v>
      </c>
      <c r="I662">
        <v>34.1</v>
      </c>
      <c r="J662" s="3">
        <v>92</v>
      </c>
      <c r="K662" t="s">
        <v>1891</v>
      </c>
      <c r="L662" t="s">
        <v>1892</v>
      </c>
      <c r="M662" s="4">
        <v>0.53</v>
      </c>
      <c r="N662" s="4">
        <v>0.62</v>
      </c>
    </row>
    <row r="663" spans="1:14" x14ac:dyDescent="0.4">
      <c r="A663">
        <v>662</v>
      </c>
      <c r="B663">
        <v>2012</v>
      </c>
      <c r="C663" t="s">
        <v>1893</v>
      </c>
      <c r="D663" t="str">
        <f>HYPERLINK("https://ota.tournamentsoftware.com/player-profile/B77AA2DD-5FF4-4B16-8ABD-E6ED22D4B5E1", "Link")</f>
        <v>Link</v>
      </c>
      <c r="E663" s="2">
        <v>130.39500000000001</v>
      </c>
      <c r="F663" s="3">
        <v>13</v>
      </c>
      <c r="G663" t="s">
        <v>29</v>
      </c>
      <c r="H663" t="s">
        <v>47</v>
      </c>
      <c r="I663">
        <v>34.6</v>
      </c>
      <c r="J663" s="3">
        <v>97</v>
      </c>
      <c r="K663" t="s">
        <v>1894</v>
      </c>
      <c r="L663" t="s">
        <v>1895</v>
      </c>
      <c r="M663" s="4">
        <v>0.26</v>
      </c>
      <c r="N663" s="4">
        <v>0.4</v>
      </c>
    </row>
    <row r="664" spans="1:14" x14ac:dyDescent="0.4">
      <c r="A664">
        <v>663</v>
      </c>
      <c r="B664">
        <v>2011</v>
      </c>
      <c r="C664" t="s">
        <v>1896</v>
      </c>
      <c r="D664" t="str">
        <f>HYPERLINK("https://ota.tournamentsoftware.com/player-profile/BB0FBA32-F6C4-4570-BAD7-091B5B8DA354", "Link")</f>
        <v>Link</v>
      </c>
      <c r="E664" s="2">
        <v>129.26599999999999</v>
      </c>
      <c r="F664" s="3">
        <v>4</v>
      </c>
      <c r="G664" t="s">
        <v>20</v>
      </c>
      <c r="H664" t="s">
        <v>1897</v>
      </c>
      <c r="I664">
        <v>29.3</v>
      </c>
      <c r="J664" s="3">
        <v>48</v>
      </c>
      <c r="K664" t="s">
        <v>1898</v>
      </c>
      <c r="L664" t="s">
        <v>1243</v>
      </c>
      <c r="M664" s="4">
        <v>0.46</v>
      </c>
      <c r="N664" s="4">
        <v>0.4</v>
      </c>
    </row>
    <row r="665" spans="1:14" x14ac:dyDescent="0.4">
      <c r="A665">
        <v>664</v>
      </c>
      <c r="B665">
        <v>2011</v>
      </c>
      <c r="C665" t="s">
        <v>1899</v>
      </c>
      <c r="D665" t="str">
        <f>HYPERLINK("https://ota.tournamentsoftware.com/player-profile/646794DC-19E1-41E8-93FB-9FE330155D3B", "Link")</f>
        <v>Link</v>
      </c>
      <c r="E665" s="2">
        <v>128.88</v>
      </c>
      <c r="F665" s="3">
        <v>8</v>
      </c>
      <c r="G665" t="s">
        <v>29</v>
      </c>
      <c r="H665" t="s">
        <v>519</v>
      </c>
      <c r="I665" t="s">
        <v>48</v>
      </c>
      <c r="J665" s="3">
        <v>20</v>
      </c>
      <c r="K665" t="s">
        <v>1424</v>
      </c>
      <c r="L665" t="s">
        <v>1324</v>
      </c>
      <c r="M665" s="4">
        <v>0.1</v>
      </c>
      <c r="N665" s="4">
        <v>0.12</v>
      </c>
    </row>
    <row r="666" spans="1:14" x14ac:dyDescent="0.4">
      <c r="A666">
        <v>665</v>
      </c>
      <c r="B666">
        <v>2014</v>
      </c>
      <c r="C666" t="s">
        <v>1900</v>
      </c>
      <c r="D666" t="str">
        <f>HYPERLINK("https://ota.tournamentsoftware.com/player-profile/D01B38C8-E207-4D1F-B33D-970B1F8BDC78", "Link")</f>
        <v>Link</v>
      </c>
      <c r="E666" s="2">
        <v>128.523</v>
      </c>
      <c r="F666" s="3">
        <v>12</v>
      </c>
      <c r="G666" t="s">
        <v>109</v>
      </c>
      <c r="H666" t="s">
        <v>110</v>
      </c>
      <c r="I666">
        <v>33.700000000000003</v>
      </c>
      <c r="J666" s="3">
        <v>146</v>
      </c>
      <c r="K666" t="s">
        <v>1901</v>
      </c>
      <c r="L666" t="s">
        <v>1200</v>
      </c>
      <c r="M666" s="4">
        <v>0.45</v>
      </c>
      <c r="N666" s="4">
        <v>0.43</v>
      </c>
    </row>
    <row r="667" spans="1:14" x14ac:dyDescent="0.4">
      <c r="A667">
        <v>666</v>
      </c>
      <c r="B667">
        <v>2014</v>
      </c>
      <c r="C667" t="s">
        <v>1902</v>
      </c>
      <c r="D667" t="str">
        <f>HYPERLINK("https://ota.tournamentsoftware.com/player-profile/72D5D7A1-94DE-47DF-B01E-F83205C53092", "Link")</f>
        <v>Link</v>
      </c>
      <c r="E667" s="2">
        <v>128.09899999999999</v>
      </c>
      <c r="F667" s="3">
        <v>22</v>
      </c>
      <c r="G667" t="s">
        <v>25</v>
      </c>
      <c r="H667" t="s">
        <v>289</v>
      </c>
      <c r="I667">
        <v>34.700000000000003</v>
      </c>
      <c r="J667" s="3">
        <v>118</v>
      </c>
      <c r="K667" t="s">
        <v>1418</v>
      </c>
      <c r="L667" t="s">
        <v>1769</v>
      </c>
      <c r="M667" s="4">
        <v>0.5</v>
      </c>
      <c r="N667" s="4">
        <v>0.35</v>
      </c>
    </row>
    <row r="668" spans="1:14" x14ac:dyDescent="0.4">
      <c r="A668">
        <v>667</v>
      </c>
      <c r="B668">
        <v>2010</v>
      </c>
      <c r="C668" t="s">
        <v>1903</v>
      </c>
      <c r="D668" t="str">
        <f>HYPERLINK("https://ota.tournamentsoftware.com/player-profile/19839CFA-8CE2-44D5-98AD-C748D7A985F7", "Link")</f>
        <v>Link</v>
      </c>
      <c r="E668" s="2">
        <v>127.46899999999999</v>
      </c>
      <c r="F668" s="3">
        <v>3</v>
      </c>
      <c r="G668" t="s">
        <v>173</v>
      </c>
      <c r="H668" t="s">
        <v>174</v>
      </c>
      <c r="I668" t="s">
        <v>48</v>
      </c>
      <c r="J668" s="3">
        <v>28</v>
      </c>
      <c r="K668" t="s">
        <v>132</v>
      </c>
      <c r="L668" t="s">
        <v>1904</v>
      </c>
      <c r="M668" s="4">
        <v>0.5</v>
      </c>
      <c r="N668" s="4">
        <v>0.5</v>
      </c>
    </row>
    <row r="669" spans="1:14" x14ac:dyDescent="0.4">
      <c r="A669">
        <v>668</v>
      </c>
      <c r="B669">
        <v>2014</v>
      </c>
      <c r="C669" t="s">
        <v>1905</v>
      </c>
      <c r="D669" t="str">
        <f>HYPERLINK("https://ota.tournamentsoftware.com/player-profile/0E55C3D7-7F72-4CDB-9BC3-2D90797931A5", "Link")</f>
        <v>Link</v>
      </c>
      <c r="E669" s="2">
        <v>127.426</v>
      </c>
      <c r="F669" s="3">
        <v>6</v>
      </c>
      <c r="G669" t="s">
        <v>20</v>
      </c>
      <c r="H669" t="s">
        <v>43</v>
      </c>
      <c r="I669">
        <v>32.1</v>
      </c>
      <c r="J669" s="3">
        <v>96</v>
      </c>
      <c r="K669" t="s">
        <v>1906</v>
      </c>
      <c r="L669" t="s">
        <v>999</v>
      </c>
      <c r="M669" s="4">
        <v>0.66</v>
      </c>
      <c r="N669" s="4">
        <v>0.43</v>
      </c>
    </row>
    <row r="670" spans="1:14" x14ac:dyDescent="0.4">
      <c r="A670">
        <v>669</v>
      </c>
      <c r="B670">
        <v>2014</v>
      </c>
      <c r="C670" t="s">
        <v>1907</v>
      </c>
      <c r="D670" t="str">
        <f>HYPERLINK("https://ota.tournamentsoftware.com/player-profile/DAFD5F0F-733D-4242-B572-5905268B6041", "Link")</f>
        <v>Link</v>
      </c>
      <c r="E670" s="2">
        <v>127.05</v>
      </c>
      <c r="F670" s="3">
        <v>22</v>
      </c>
      <c r="G670" t="s">
        <v>29</v>
      </c>
      <c r="H670" t="s">
        <v>141</v>
      </c>
      <c r="I670" t="s">
        <v>48</v>
      </c>
      <c r="J670" s="3">
        <v>110</v>
      </c>
      <c r="K670" t="s">
        <v>1908</v>
      </c>
      <c r="L670" t="s">
        <v>1909</v>
      </c>
      <c r="M670" s="4">
        <v>0.35</v>
      </c>
      <c r="N670" s="4">
        <v>0.38</v>
      </c>
    </row>
    <row r="671" spans="1:14" x14ac:dyDescent="0.4">
      <c r="A671">
        <v>670</v>
      </c>
      <c r="B671">
        <v>2015</v>
      </c>
      <c r="C671" t="s">
        <v>1910</v>
      </c>
      <c r="D671" t="str">
        <f>HYPERLINK("https://ota.tournamentsoftware.com/player-profile/4CF0CDA6-2600-4F1B-8775-31212B766E74", "Link")</f>
        <v>Link</v>
      </c>
      <c r="E671" s="2">
        <v>126</v>
      </c>
      <c r="F671" s="3">
        <v>22</v>
      </c>
      <c r="G671" t="s">
        <v>29</v>
      </c>
      <c r="H671" t="s">
        <v>1689</v>
      </c>
      <c r="I671">
        <v>34.700000000000003</v>
      </c>
      <c r="J671" s="3">
        <v>100</v>
      </c>
      <c r="K671" t="s">
        <v>1911</v>
      </c>
      <c r="L671" t="s">
        <v>1912</v>
      </c>
      <c r="M671" s="4">
        <v>0.6</v>
      </c>
      <c r="N671" s="4">
        <v>0.6</v>
      </c>
    </row>
    <row r="672" spans="1:14" x14ac:dyDescent="0.4">
      <c r="A672">
        <v>671</v>
      </c>
      <c r="B672">
        <v>2011</v>
      </c>
      <c r="C672" t="s">
        <v>1913</v>
      </c>
      <c r="D672" t="str">
        <f>HYPERLINK("https://ota.tournamentsoftware.com/player-profile/3DECF0FD-EEF4-4B0D-8BC2-9E33DC0D419B", "Link")</f>
        <v>Link</v>
      </c>
      <c r="E672" s="2">
        <v>125.928</v>
      </c>
      <c r="F672" s="3">
        <v>5</v>
      </c>
      <c r="G672" t="s">
        <v>29</v>
      </c>
      <c r="H672" t="s">
        <v>528</v>
      </c>
      <c r="I672" t="s">
        <v>48</v>
      </c>
      <c r="J672" s="3">
        <v>51</v>
      </c>
      <c r="K672" t="s">
        <v>1914</v>
      </c>
      <c r="L672" t="s">
        <v>999</v>
      </c>
      <c r="M672" s="4">
        <v>0.39</v>
      </c>
      <c r="N672" s="4">
        <v>0.43</v>
      </c>
    </row>
    <row r="673" spans="1:14" x14ac:dyDescent="0.4">
      <c r="A673">
        <v>672</v>
      </c>
      <c r="B673">
        <v>2014</v>
      </c>
      <c r="C673" t="s">
        <v>1915</v>
      </c>
      <c r="D673" t="str">
        <f>HYPERLINK("https://ota.tournamentsoftware.com/player-profile/B5B677E5-44EA-48DD-95B7-05BF38E3758B", "Link")</f>
        <v>Link</v>
      </c>
      <c r="E673" s="2">
        <v>125.896</v>
      </c>
      <c r="F673" s="3">
        <v>26</v>
      </c>
      <c r="G673" t="s">
        <v>20</v>
      </c>
      <c r="H673" t="s">
        <v>43</v>
      </c>
      <c r="I673">
        <v>33.299999999999997</v>
      </c>
      <c r="J673" s="3">
        <v>66</v>
      </c>
      <c r="K673" t="s">
        <v>1916</v>
      </c>
      <c r="L673" t="s">
        <v>684</v>
      </c>
      <c r="M673" s="4">
        <v>0.45</v>
      </c>
      <c r="N673" s="4">
        <v>0.51</v>
      </c>
    </row>
    <row r="674" spans="1:14" x14ac:dyDescent="0.4">
      <c r="A674">
        <v>673</v>
      </c>
      <c r="B674">
        <v>2011</v>
      </c>
      <c r="C674" t="s">
        <v>1917</v>
      </c>
      <c r="D674" t="str">
        <f>HYPERLINK("https://ota.tournamentsoftware.com/player-profile/7D77695B-D267-43DC-A21E-15642B150D6E", "Link")</f>
        <v>Link</v>
      </c>
      <c r="E674" s="2">
        <v>125.276</v>
      </c>
      <c r="F674" s="3">
        <v>3</v>
      </c>
      <c r="G674" t="s">
        <v>25</v>
      </c>
      <c r="H674" t="s">
        <v>754</v>
      </c>
      <c r="I674">
        <v>35.4</v>
      </c>
      <c r="J674" s="3">
        <v>50</v>
      </c>
      <c r="K674" t="s">
        <v>1918</v>
      </c>
      <c r="L674" t="s">
        <v>433</v>
      </c>
      <c r="M674" s="4">
        <v>0.3</v>
      </c>
      <c r="N674" s="4">
        <v>0</v>
      </c>
    </row>
    <row r="675" spans="1:14" x14ac:dyDescent="0.4">
      <c r="A675">
        <v>674</v>
      </c>
      <c r="B675">
        <v>2015</v>
      </c>
      <c r="C675" t="s">
        <v>1919</v>
      </c>
      <c r="D675" t="str">
        <f>HYPERLINK("https://ota.tournamentsoftware.com/player-profile/9C1D6B37-A27B-4B15-8F8F-72E6D4418B50", "Link")</f>
        <v>Link</v>
      </c>
      <c r="E675" s="2">
        <v>124.998</v>
      </c>
      <c r="F675" s="3">
        <v>12</v>
      </c>
      <c r="G675" t="s">
        <v>20</v>
      </c>
      <c r="H675" t="s">
        <v>127</v>
      </c>
      <c r="I675" t="s">
        <v>48</v>
      </c>
      <c r="J675" s="3">
        <v>184</v>
      </c>
      <c r="K675" t="s">
        <v>1920</v>
      </c>
      <c r="L675" t="s">
        <v>1921</v>
      </c>
      <c r="M675" s="4">
        <v>0.6</v>
      </c>
      <c r="N675" s="4">
        <v>0.55000000000000004</v>
      </c>
    </row>
    <row r="676" spans="1:14" x14ac:dyDescent="0.4">
      <c r="A676">
        <v>675</v>
      </c>
      <c r="B676">
        <v>2010</v>
      </c>
      <c r="C676" t="s">
        <v>1922</v>
      </c>
      <c r="D676" t="str">
        <f>HYPERLINK("https://ota.tournamentsoftware.com/player-profile/B8ACC3B7-22C5-441A-B73B-518952FD6198", "Link")</f>
        <v>Link</v>
      </c>
      <c r="E676" s="2">
        <v>124.596</v>
      </c>
      <c r="F676" s="3">
        <v>3</v>
      </c>
      <c r="G676" t="s">
        <v>29</v>
      </c>
      <c r="H676" t="s">
        <v>1599</v>
      </c>
      <c r="I676">
        <v>34.9</v>
      </c>
      <c r="J676" s="3">
        <v>7</v>
      </c>
      <c r="K676" t="s">
        <v>999</v>
      </c>
      <c r="L676" t="s">
        <v>31</v>
      </c>
      <c r="M676" s="4">
        <v>0.43</v>
      </c>
      <c r="N676" s="4">
        <v>0</v>
      </c>
    </row>
    <row r="677" spans="1:14" x14ac:dyDescent="0.4">
      <c r="A677">
        <v>676</v>
      </c>
      <c r="B677">
        <v>2013</v>
      </c>
      <c r="C677" t="s">
        <v>1923</v>
      </c>
      <c r="D677" t="str">
        <f>HYPERLINK("https://ota.tournamentsoftware.com/player-profile/CF99D041-FAEF-47A9-BBE6-3D6335355408", "Link")</f>
        <v>Link</v>
      </c>
      <c r="E677" s="2">
        <v>123.973</v>
      </c>
      <c r="F677" s="3">
        <v>10</v>
      </c>
      <c r="G677" t="s">
        <v>29</v>
      </c>
      <c r="H677" t="s">
        <v>1924</v>
      </c>
      <c r="I677">
        <v>35.200000000000003</v>
      </c>
      <c r="J677" s="3">
        <v>198</v>
      </c>
      <c r="K677" t="s">
        <v>1925</v>
      </c>
      <c r="L677" t="s">
        <v>1120</v>
      </c>
      <c r="M677" s="4">
        <v>0.44</v>
      </c>
      <c r="N677" s="4">
        <v>0.4</v>
      </c>
    </row>
    <row r="678" spans="1:14" x14ac:dyDescent="0.4">
      <c r="A678">
        <v>677</v>
      </c>
      <c r="B678">
        <v>2015</v>
      </c>
      <c r="C678" t="s">
        <v>1926</v>
      </c>
      <c r="D678" t="str">
        <f>HYPERLINK("https://ota.tournamentsoftware.com/player-profile/D190414C-9B0E-4001-86BC-CD88F7FCF827", "Link")</f>
        <v>Link</v>
      </c>
      <c r="E678" s="2">
        <v>123.895</v>
      </c>
      <c r="F678" s="3">
        <v>26</v>
      </c>
      <c r="G678" t="s">
        <v>20</v>
      </c>
      <c r="H678" t="s">
        <v>252</v>
      </c>
      <c r="I678" t="s">
        <v>48</v>
      </c>
      <c r="J678" s="3">
        <v>172</v>
      </c>
      <c r="K678" t="s">
        <v>1927</v>
      </c>
      <c r="L678" t="s">
        <v>347</v>
      </c>
      <c r="M678" s="4">
        <v>0.46</v>
      </c>
      <c r="N678" s="4">
        <v>0.56999999999999995</v>
      </c>
    </row>
    <row r="679" spans="1:14" x14ac:dyDescent="0.4">
      <c r="A679">
        <v>678</v>
      </c>
      <c r="B679">
        <v>2013</v>
      </c>
      <c r="C679" t="s">
        <v>1928</v>
      </c>
      <c r="D679" t="str">
        <f>HYPERLINK("https://ota.tournamentsoftware.com/player-profile/E2171261-67FD-4CFA-B4F2-64D9B979CCE5", "Link")</f>
        <v>Link</v>
      </c>
      <c r="E679" s="2">
        <v>122.607</v>
      </c>
      <c r="F679" s="3">
        <v>11</v>
      </c>
      <c r="G679" t="s">
        <v>20</v>
      </c>
      <c r="H679" t="s">
        <v>260</v>
      </c>
      <c r="I679">
        <v>34.1</v>
      </c>
      <c r="J679" s="3">
        <v>125</v>
      </c>
      <c r="K679" t="s">
        <v>1929</v>
      </c>
      <c r="L679" t="s">
        <v>1644</v>
      </c>
      <c r="M679" s="4">
        <v>0.43</v>
      </c>
      <c r="N679" s="4">
        <v>0.43</v>
      </c>
    </row>
    <row r="680" spans="1:14" x14ac:dyDescent="0.4">
      <c r="A680">
        <v>679</v>
      </c>
      <c r="B680">
        <v>2014</v>
      </c>
      <c r="C680" t="s">
        <v>1930</v>
      </c>
      <c r="D680" t="str">
        <f>HYPERLINK("https://ota.tournamentsoftware.com/player-profile/DEF89846-A0EF-4373-B8DC-8305F756E612", "Link")</f>
        <v>Link</v>
      </c>
      <c r="E680" s="2">
        <v>122.446</v>
      </c>
      <c r="F680" s="3">
        <v>24</v>
      </c>
      <c r="G680" t="s">
        <v>25</v>
      </c>
      <c r="H680" t="s">
        <v>289</v>
      </c>
      <c r="I680">
        <v>36.200000000000003</v>
      </c>
      <c r="J680" s="3">
        <v>111</v>
      </c>
      <c r="K680" t="s">
        <v>1931</v>
      </c>
      <c r="L680" t="s">
        <v>1932</v>
      </c>
      <c r="M680" s="4">
        <v>0.37</v>
      </c>
      <c r="N680" s="4">
        <v>0.33</v>
      </c>
    </row>
    <row r="681" spans="1:14" x14ac:dyDescent="0.4">
      <c r="A681">
        <v>680</v>
      </c>
      <c r="B681">
        <v>2014</v>
      </c>
      <c r="C681" t="s">
        <v>1933</v>
      </c>
      <c r="D681" t="str">
        <f>HYPERLINK("https://ota.tournamentsoftware.com/player-profile/440C1FD3-B189-4153-99D4-C9B6B43D7D03", "Link")</f>
        <v>Link</v>
      </c>
      <c r="E681" s="2">
        <v>120.871</v>
      </c>
      <c r="F681" s="3">
        <v>27</v>
      </c>
      <c r="G681" t="s">
        <v>20</v>
      </c>
      <c r="H681" t="s">
        <v>16</v>
      </c>
      <c r="I681">
        <v>31.8</v>
      </c>
      <c r="J681" s="3">
        <v>208</v>
      </c>
      <c r="K681" t="s">
        <v>1934</v>
      </c>
      <c r="L681" t="s">
        <v>1582</v>
      </c>
      <c r="M681" s="4">
        <v>0.4</v>
      </c>
      <c r="N681" s="4">
        <v>0.48</v>
      </c>
    </row>
    <row r="682" spans="1:14" x14ac:dyDescent="0.4">
      <c r="A682">
        <v>681</v>
      </c>
      <c r="B682">
        <v>2013</v>
      </c>
      <c r="C682" t="s">
        <v>1935</v>
      </c>
      <c r="D682" t="str">
        <f>HYPERLINK("https://ota.tournamentsoftware.com/player-profile/CB4D2A63-DEA3-4EB8-9085-4317BC39804E", "Link")</f>
        <v>Link</v>
      </c>
      <c r="E682" s="2">
        <v>119.767</v>
      </c>
      <c r="F682" s="3">
        <v>9</v>
      </c>
      <c r="G682" t="s">
        <v>29</v>
      </c>
      <c r="H682" t="s">
        <v>391</v>
      </c>
      <c r="I682">
        <v>34.4</v>
      </c>
      <c r="J682" s="3">
        <v>64</v>
      </c>
      <c r="K682" t="s">
        <v>1936</v>
      </c>
      <c r="L682" t="s">
        <v>1625</v>
      </c>
      <c r="M682" s="4">
        <v>0.36</v>
      </c>
      <c r="N682" s="4">
        <v>0.33</v>
      </c>
    </row>
    <row r="683" spans="1:14" x14ac:dyDescent="0.4">
      <c r="A683">
        <v>682</v>
      </c>
      <c r="B683">
        <v>2014</v>
      </c>
      <c r="C683" t="s">
        <v>1937</v>
      </c>
      <c r="D683" t="str">
        <f>HYPERLINK("https://ota.tournamentsoftware.com/player-profile/5C189397-D536-4086-AA1D-1AD29C093438", "Link")</f>
        <v>Link</v>
      </c>
      <c r="E683" s="2">
        <v>118.051</v>
      </c>
      <c r="F683" s="3">
        <v>18</v>
      </c>
      <c r="G683" t="s">
        <v>20</v>
      </c>
      <c r="H683" t="s">
        <v>43</v>
      </c>
      <c r="I683">
        <v>32.6</v>
      </c>
      <c r="J683" s="3">
        <v>88</v>
      </c>
      <c r="K683" t="s">
        <v>1938</v>
      </c>
      <c r="L683" t="s">
        <v>861</v>
      </c>
      <c r="M683" s="4">
        <v>0.57999999999999996</v>
      </c>
      <c r="N683" s="4">
        <v>0.66</v>
      </c>
    </row>
    <row r="684" spans="1:14" x14ac:dyDescent="0.4">
      <c r="A684">
        <v>683</v>
      </c>
      <c r="B684">
        <v>2012</v>
      </c>
      <c r="C684" t="s">
        <v>1939</v>
      </c>
      <c r="D684" t="str">
        <f>HYPERLINK("https://ota.tournamentsoftware.com/player-profile/CE7139B1-580D-4EF4-A747-D0E1E897EAFB", "Link")</f>
        <v>Link</v>
      </c>
      <c r="E684" s="2">
        <v>118.026</v>
      </c>
      <c r="F684" s="3">
        <v>8</v>
      </c>
      <c r="G684" t="s">
        <v>29</v>
      </c>
      <c r="H684" t="s">
        <v>323</v>
      </c>
      <c r="I684">
        <v>38.299999999999997</v>
      </c>
      <c r="J684" s="3">
        <v>39</v>
      </c>
      <c r="K684" t="s">
        <v>1940</v>
      </c>
      <c r="L684" t="s">
        <v>717</v>
      </c>
      <c r="M684" s="4">
        <v>0.31</v>
      </c>
      <c r="N684" s="4">
        <v>0.27</v>
      </c>
    </row>
    <row r="685" spans="1:14" x14ac:dyDescent="0.4">
      <c r="A685">
        <v>684</v>
      </c>
      <c r="B685">
        <v>2013</v>
      </c>
      <c r="C685" t="s">
        <v>1941</v>
      </c>
      <c r="D685" t="str">
        <f>HYPERLINK("https://ota.tournamentsoftware.com/player-profile/92DDE685-2967-4CDD-8CA6-2827E6AC3AEB", "Link")</f>
        <v>Link</v>
      </c>
      <c r="E685" s="2">
        <v>117.899</v>
      </c>
      <c r="F685" s="3">
        <v>7</v>
      </c>
      <c r="G685" t="s">
        <v>29</v>
      </c>
      <c r="H685" t="s">
        <v>1771</v>
      </c>
      <c r="I685">
        <v>38</v>
      </c>
      <c r="J685" s="3">
        <v>26</v>
      </c>
      <c r="K685" t="s">
        <v>1942</v>
      </c>
      <c r="L685" t="s">
        <v>1678</v>
      </c>
      <c r="M685" s="4">
        <v>0.38</v>
      </c>
      <c r="N685" s="4">
        <v>0.26</v>
      </c>
    </row>
    <row r="686" spans="1:14" x14ac:dyDescent="0.4">
      <c r="A686">
        <v>685</v>
      </c>
      <c r="B686">
        <v>2011</v>
      </c>
      <c r="C686" t="s">
        <v>1943</v>
      </c>
      <c r="D686" t="str">
        <f>HYPERLINK("https://ota.tournamentsoftware.com/player-profile/95EF8F87-F1CF-49A5-B43A-77446114A0EE", "Link")</f>
        <v>Link</v>
      </c>
      <c r="E686" s="2">
        <v>117.771</v>
      </c>
      <c r="F686" s="3">
        <v>3</v>
      </c>
      <c r="G686" t="s">
        <v>29</v>
      </c>
      <c r="H686" t="s">
        <v>458</v>
      </c>
      <c r="I686" t="s">
        <v>48</v>
      </c>
      <c r="J686" s="3">
        <v>20</v>
      </c>
      <c r="K686" t="s">
        <v>338</v>
      </c>
      <c r="L686" t="s">
        <v>433</v>
      </c>
      <c r="M686" s="4">
        <v>0.55000000000000004</v>
      </c>
      <c r="N686" s="4">
        <v>0</v>
      </c>
    </row>
    <row r="687" spans="1:14" x14ac:dyDescent="0.4">
      <c r="A687">
        <v>686</v>
      </c>
      <c r="B687">
        <v>2015</v>
      </c>
      <c r="C687" t="s">
        <v>1944</v>
      </c>
      <c r="D687" t="str">
        <f>HYPERLINK("https://ota.tournamentsoftware.com/player-profile/879338D5-D59E-4EA6-A8E9-135220F52905", "Link")</f>
        <v>Link</v>
      </c>
      <c r="E687" s="2">
        <v>117.654</v>
      </c>
      <c r="F687" s="3">
        <v>14</v>
      </c>
      <c r="G687" t="s">
        <v>109</v>
      </c>
      <c r="H687" t="s">
        <v>110</v>
      </c>
      <c r="I687">
        <v>35.700000000000003</v>
      </c>
      <c r="J687" s="3">
        <v>69</v>
      </c>
      <c r="K687" t="s">
        <v>1945</v>
      </c>
      <c r="L687" t="s">
        <v>1788</v>
      </c>
      <c r="M687" s="4">
        <v>0.43</v>
      </c>
      <c r="N687" s="4">
        <v>0.33</v>
      </c>
    </row>
    <row r="688" spans="1:14" x14ac:dyDescent="0.4">
      <c r="A688">
        <v>687</v>
      </c>
      <c r="B688">
        <v>2015</v>
      </c>
      <c r="C688" t="s">
        <v>1946</v>
      </c>
      <c r="D688" t="str">
        <f>HYPERLINK("https://ota.tournamentsoftware.com/player-profile/A8C9C47A-4B9A-43CD-97A6-5516A6BAA15D", "Link")</f>
        <v>Link</v>
      </c>
      <c r="E688" s="2">
        <v>117.51</v>
      </c>
      <c r="F688" s="3">
        <v>16</v>
      </c>
      <c r="G688" t="s">
        <v>25</v>
      </c>
      <c r="H688" t="s">
        <v>60</v>
      </c>
      <c r="I688">
        <v>33.6</v>
      </c>
      <c r="J688" s="3">
        <v>131</v>
      </c>
      <c r="K688" t="s">
        <v>1947</v>
      </c>
      <c r="L688" t="s">
        <v>500</v>
      </c>
      <c r="M688" s="4">
        <v>0.55000000000000004</v>
      </c>
      <c r="N688" s="4">
        <v>0.66</v>
      </c>
    </row>
    <row r="689" spans="1:14" x14ac:dyDescent="0.4">
      <c r="A689">
        <v>688</v>
      </c>
      <c r="B689">
        <v>2015</v>
      </c>
      <c r="C689" t="s">
        <v>1948</v>
      </c>
      <c r="D689" t="str">
        <f>HYPERLINK("https://ota.tournamentsoftware.com/player-profile/AC58096C-5119-4221-95E0-C06E89FC8EFF", "Link")</f>
        <v>Link</v>
      </c>
      <c r="E689" s="2">
        <v>116.37</v>
      </c>
      <c r="F689" s="3">
        <v>17</v>
      </c>
      <c r="G689" t="s">
        <v>20</v>
      </c>
      <c r="H689" t="s">
        <v>260</v>
      </c>
      <c r="I689" t="s">
        <v>48</v>
      </c>
      <c r="J689" s="3">
        <v>123</v>
      </c>
      <c r="K689" t="s">
        <v>1949</v>
      </c>
      <c r="L689" t="s">
        <v>1950</v>
      </c>
      <c r="M689" s="4">
        <v>0.56999999999999995</v>
      </c>
      <c r="N689" s="4">
        <v>0.57999999999999996</v>
      </c>
    </row>
    <row r="690" spans="1:14" x14ac:dyDescent="0.4">
      <c r="A690">
        <v>689</v>
      </c>
      <c r="B690">
        <v>2015</v>
      </c>
      <c r="C690" t="s">
        <v>1951</v>
      </c>
      <c r="D690" t="str">
        <f>HYPERLINK("https://ota.tournamentsoftware.com/player-profile/88C213E0-0960-44DC-B9B0-66B1ADEE699B", "Link")</f>
        <v>Link</v>
      </c>
      <c r="E690" s="2">
        <v>116.274</v>
      </c>
      <c r="F690" s="3">
        <v>10</v>
      </c>
      <c r="G690" t="s">
        <v>29</v>
      </c>
      <c r="H690" t="s">
        <v>1952</v>
      </c>
      <c r="I690">
        <v>35.5</v>
      </c>
      <c r="J690" s="3">
        <v>54</v>
      </c>
      <c r="K690" t="s">
        <v>1953</v>
      </c>
      <c r="L690" t="s">
        <v>1223</v>
      </c>
      <c r="M690" s="4">
        <v>0.5</v>
      </c>
      <c r="N690" s="4">
        <v>0.5</v>
      </c>
    </row>
    <row r="691" spans="1:14" x14ac:dyDescent="0.4">
      <c r="A691">
        <v>690</v>
      </c>
      <c r="B691">
        <v>2013</v>
      </c>
      <c r="C691" t="s">
        <v>1954</v>
      </c>
      <c r="D691" t="str">
        <f>HYPERLINK("https://ota.tournamentsoftware.com/player-profile/A1DEEE7E-F9FE-4AA1-9DCF-5A3FDD2E189E", "Link")</f>
        <v>Link</v>
      </c>
      <c r="E691" s="2">
        <v>114.98399999999999</v>
      </c>
      <c r="F691" s="3">
        <v>10</v>
      </c>
      <c r="G691" t="s">
        <v>29</v>
      </c>
      <c r="H691" t="s">
        <v>81</v>
      </c>
      <c r="I691">
        <v>36.5</v>
      </c>
      <c r="J691" s="3">
        <v>16</v>
      </c>
      <c r="K691" t="s">
        <v>1354</v>
      </c>
      <c r="L691" t="s">
        <v>1354</v>
      </c>
      <c r="M691" s="4">
        <v>0.25</v>
      </c>
      <c r="N691" s="4">
        <v>0.25</v>
      </c>
    </row>
    <row r="692" spans="1:14" x14ac:dyDescent="0.4">
      <c r="A692">
        <v>691</v>
      </c>
      <c r="B692">
        <v>2015</v>
      </c>
      <c r="C692" t="s">
        <v>1955</v>
      </c>
      <c r="D692" t="str">
        <f>HYPERLINK("https://ota.tournamentsoftware.com/player-profile/70FC879C-9BB0-4123-BE70-BCB588C22C80", "Link")</f>
        <v>Link</v>
      </c>
      <c r="E692" s="2">
        <v>114.22799999999999</v>
      </c>
      <c r="F692" s="3">
        <v>23</v>
      </c>
      <c r="G692" t="s">
        <v>25</v>
      </c>
      <c r="H692" t="s">
        <v>85</v>
      </c>
      <c r="I692">
        <v>35.6</v>
      </c>
      <c r="J692" s="3">
        <v>107</v>
      </c>
      <c r="K692" t="s">
        <v>1956</v>
      </c>
      <c r="L692" t="s">
        <v>359</v>
      </c>
      <c r="M692" s="4">
        <v>0.55000000000000004</v>
      </c>
      <c r="N692" s="4">
        <v>0.5</v>
      </c>
    </row>
    <row r="693" spans="1:14" x14ac:dyDescent="0.4">
      <c r="A693">
        <v>692</v>
      </c>
      <c r="B693">
        <v>2011</v>
      </c>
      <c r="C693" t="s">
        <v>1957</v>
      </c>
      <c r="D693" t="str">
        <f>HYPERLINK("https://ota.tournamentsoftware.com/player-profile/DC561137-98F2-4FA8-9B44-747A0F97645B", "Link")</f>
        <v>Link</v>
      </c>
      <c r="E693" s="2">
        <v>114.032</v>
      </c>
      <c r="F693" s="3">
        <v>7</v>
      </c>
      <c r="G693" t="s">
        <v>109</v>
      </c>
      <c r="H693" t="s">
        <v>1958</v>
      </c>
      <c r="I693" t="s">
        <v>48</v>
      </c>
      <c r="J693" s="3">
        <v>137</v>
      </c>
      <c r="K693" t="s">
        <v>1959</v>
      </c>
      <c r="L693" t="s">
        <v>1243</v>
      </c>
      <c r="M693" s="4">
        <v>0.28999999999999998</v>
      </c>
      <c r="N693" s="4">
        <v>0.4</v>
      </c>
    </row>
    <row r="694" spans="1:14" x14ac:dyDescent="0.4">
      <c r="A694">
        <v>693</v>
      </c>
      <c r="B694">
        <v>2012</v>
      </c>
      <c r="C694" t="s">
        <v>1960</v>
      </c>
      <c r="D694" t="str">
        <f>HYPERLINK("https://ota.tournamentsoftware.com/player-profile/7D4E0E2F-DC2C-4911-BF16-A07E84364BB7", "Link")</f>
        <v>Link</v>
      </c>
      <c r="E694" s="2">
        <v>113.598</v>
      </c>
      <c r="F694" s="3">
        <v>9</v>
      </c>
      <c r="G694" t="s">
        <v>20</v>
      </c>
      <c r="H694" t="s">
        <v>252</v>
      </c>
      <c r="I694">
        <v>34.6</v>
      </c>
      <c r="J694" s="3">
        <v>109</v>
      </c>
      <c r="K694" t="s">
        <v>1961</v>
      </c>
      <c r="L694" t="s">
        <v>1962</v>
      </c>
      <c r="M694" s="4">
        <v>0.24</v>
      </c>
      <c r="N694" s="4">
        <v>0.24</v>
      </c>
    </row>
    <row r="695" spans="1:14" x14ac:dyDescent="0.4">
      <c r="A695">
        <v>694</v>
      </c>
      <c r="B695">
        <v>2015</v>
      </c>
      <c r="C695" t="s">
        <v>1963</v>
      </c>
      <c r="D695" t="str">
        <f>HYPERLINK("https://ota.tournamentsoftware.com/player-profile/81A2D044-B79D-4C29-B0B3-9E7AF48F2811", "Link")</f>
        <v>Link</v>
      </c>
      <c r="E695" s="2">
        <v>113.264</v>
      </c>
      <c r="F695" s="3">
        <v>16</v>
      </c>
      <c r="G695" t="s">
        <v>29</v>
      </c>
      <c r="H695" t="s">
        <v>52</v>
      </c>
      <c r="I695">
        <v>35.4</v>
      </c>
      <c r="J695" s="3">
        <v>57</v>
      </c>
      <c r="K695" t="s">
        <v>1964</v>
      </c>
      <c r="L695" t="s">
        <v>242</v>
      </c>
      <c r="M695" s="4">
        <v>0.56000000000000005</v>
      </c>
      <c r="N695" s="4">
        <v>0.6</v>
      </c>
    </row>
    <row r="696" spans="1:14" x14ac:dyDescent="0.4">
      <c r="A696">
        <v>695</v>
      </c>
      <c r="B696">
        <v>2013</v>
      </c>
      <c r="C696" t="s">
        <v>1965</v>
      </c>
      <c r="D696" t="str">
        <f>HYPERLINK("https://ota.tournamentsoftware.com/player-profile/26731833-04E0-4736-BC60-733715112E5E", "Link")</f>
        <v>Link</v>
      </c>
      <c r="E696" s="2">
        <v>113.23699999999999</v>
      </c>
      <c r="F696" s="3">
        <v>7</v>
      </c>
      <c r="G696" t="s">
        <v>497</v>
      </c>
      <c r="H696" t="s">
        <v>1966</v>
      </c>
      <c r="I696">
        <v>34.700000000000003</v>
      </c>
      <c r="J696" s="3">
        <v>44</v>
      </c>
      <c r="K696" t="s">
        <v>1967</v>
      </c>
      <c r="L696" t="s">
        <v>1416</v>
      </c>
      <c r="M696" s="4">
        <v>0.56999999999999995</v>
      </c>
      <c r="N696" s="4">
        <v>0.42</v>
      </c>
    </row>
    <row r="697" spans="1:14" x14ac:dyDescent="0.4">
      <c r="A697">
        <v>696</v>
      </c>
      <c r="B697">
        <v>2014</v>
      </c>
      <c r="C697" t="s">
        <v>1968</v>
      </c>
      <c r="D697" t="str">
        <f>HYPERLINK("https://ota.tournamentsoftware.com/player-profile/330D8089-39D5-4A22-8596-8BAAF8D4E02E", "Link")</f>
        <v>Link</v>
      </c>
      <c r="E697" s="2">
        <v>112.58499999999999</v>
      </c>
      <c r="F697" s="3">
        <v>10</v>
      </c>
      <c r="G697" t="s">
        <v>109</v>
      </c>
      <c r="H697" t="s">
        <v>110</v>
      </c>
      <c r="I697" t="s">
        <v>48</v>
      </c>
      <c r="J697" s="3">
        <v>103</v>
      </c>
      <c r="K697" t="s">
        <v>1969</v>
      </c>
      <c r="L697" t="s">
        <v>720</v>
      </c>
      <c r="M697" s="4">
        <v>0.41</v>
      </c>
      <c r="N697" s="4">
        <v>0.44</v>
      </c>
    </row>
    <row r="698" spans="1:14" x14ac:dyDescent="0.4">
      <c r="A698">
        <v>697</v>
      </c>
      <c r="B698">
        <v>2014</v>
      </c>
      <c r="C698" t="s">
        <v>1970</v>
      </c>
      <c r="D698" t="str">
        <f>HYPERLINK("https://ota.tournamentsoftware.com/player-profile/CCA302B0-3E0B-42DA-BCF9-B1A9AF0035E5", "Link")</f>
        <v>Link</v>
      </c>
      <c r="E698" s="2">
        <v>112.32</v>
      </c>
      <c r="F698" s="3">
        <v>17</v>
      </c>
      <c r="G698" t="s">
        <v>29</v>
      </c>
      <c r="H698" t="s">
        <v>374</v>
      </c>
      <c r="I698">
        <v>34.4</v>
      </c>
      <c r="J698" s="3">
        <v>66</v>
      </c>
      <c r="K698" t="s">
        <v>1971</v>
      </c>
      <c r="L698" t="s">
        <v>382</v>
      </c>
      <c r="M698" s="4">
        <v>0.5</v>
      </c>
      <c r="N698" s="4">
        <v>0.65</v>
      </c>
    </row>
    <row r="699" spans="1:14" x14ac:dyDescent="0.4">
      <c r="A699">
        <v>698</v>
      </c>
      <c r="B699">
        <v>2015</v>
      </c>
      <c r="C699" t="s">
        <v>1972</v>
      </c>
      <c r="D699" t="str">
        <f>HYPERLINK("https://ota.tournamentsoftware.com/player-profile/ABB23AE3-6EC2-498B-AA4D-BB89BCBF0088", "Link")</f>
        <v>Link</v>
      </c>
      <c r="E699" s="2">
        <v>112.229</v>
      </c>
      <c r="F699" s="3">
        <v>16</v>
      </c>
      <c r="G699" t="s">
        <v>109</v>
      </c>
      <c r="H699" t="s">
        <v>387</v>
      </c>
      <c r="I699">
        <v>33.6</v>
      </c>
      <c r="J699" s="3">
        <v>141</v>
      </c>
      <c r="K699" t="s">
        <v>1973</v>
      </c>
      <c r="L699" t="s">
        <v>1005</v>
      </c>
      <c r="M699" s="4">
        <v>0.64</v>
      </c>
      <c r="N699" s="4">
        <v>0.45</v>
      </c>
    </row>
    <row r="700" spans="1:14" x14ac:dyDescent="0.4">
      <c r="A700">
        <v>699</v>
      </c>
      <c r="B700">
        <v>2012</v>
      </c>
      <c r="C700" t="s">
        <v>1974</v>
      </c>
      <c r="D700" t="str">
        <f>HYPERLINK("https://ota.tournamentsoftware.com/player-profile/C8963CF4-1E95-43AF-B92C-08778B2BA616", "Link")</f>
        <v>Link</v>
      </c>
      <c r="E700" s="2">
        <v>112.04600000000001</v>
      </c>
      <c r="F700" s="3">
        <v>13</v>
      </c>
      <c r="G700" t="s">
        <v>29</v>
      </c>
      <c r="H700" t="s">
        <v>1975</v>
      </c>
      <c r="I700">
        <v>35.4</v>
      </c>
      <c r="J700" s="3">
        <v>66</v>
      </c>
      <c r="K700" t="s">
        <v>1976</v>
      </c>
      <c r="L700" t="s">
        <v>1895</v>
      </c>
      <c r="M700" s="4">
        <v>0.41</v>
      </c>
      <c r="N700" s="4">
        <v>0.4</v>
      </c>
    </row>
    <row r="701" spans="1:14" x14ac:dyDescent="0.4">
      <c r="A701">
        <v>700</v>
      </c>
      <c r="B701">
        <v>2010</v>
      </c>
      <c r="C701" t="s">
        <v>1977</v>
      </c>
      <c r="D701" t="str">
        <f>HYPERLINK("https://ota.tournamentsoftware.com/player-profile/7274EFB4-7B12-4B24-B10C-815FED9F3A84", "Link")</f>
        <v>Link</v>
      </c>
      <c r="E701" s="2">
        <v>111.6</v>
      </c>
      <c r="F701" s="3">
        <v>1</v>
      </c>
      <c r="G701" t="s">
        <v>29</v>
      </c>
      <c r="H701" t="s">
        <v>1599</v>
      </c>
      <c r="I701">
        <v>33.700000000000003</v>
      </c>
      <c r="J701" s="3">
        <v>3</v>
      </c>
      <c r="K701" t="s">
        <v>1978</v>
      </c>
      <c r="L701" t="s">
        <v>31</v>
      </c>
      <c r="M701" s="4">
        <v>0.67</v>
      </c>
      <c r="N701" s="4">
        <v>0</v>
      </c>
    </row>
    <row r="702" spans="1:14" x14ac:dyDescent="0.4">
      <c r="A702">
        <v>701</v>
      </c>
      <c r="B702">
        <v>2013</v>
      </c>
      <c r="C702" t="s">
        <v>1979</v>
      </c>
      <c r="D702" t="str">
        <f>HYPERLINK("https://ota.tournamentsoftware.com/player-profile/52069260-9644-4FA6-A8E4-10B4E037765E", "Link")</f>
        <v>Link</v>
      </c>
      <c r="E702" s="2">
        <v>110.988</v>
      </c>
      <c r="F702" s="3">
        <v>9</v>
      </c>
      <c r="G702" t="s">
        <v>25</v>
      </c>
      <c r="H702" t="s">
        <v>156</v>
      </c>
      <c r="I702">
        <v>34.6</v>
      </c>
      <c r="J702" s="3">
        <v>157</v>
      </c>
      <c r="K702" t="s">
        <v>1980</v>
      </c>
      <c r="L702" t="s">
        <v>1057</v>
      </c>
      <c r="M702" s="4">
        <v>0.52</v>
      </c>
      <c r="N702" s="4">
        <v>0.47</v>
      </c>
    </row>
    <row r="703" spans="1:14" x14ac:dyDescent="0.4">
      <c r="A703">
        <v>702</v>
      </c>
      <c r="B703">
        <v>2014</v>
      </c>
      <c r="C703" t="s">
        <v>1981</v>
      </c>
      <c r="D703" t="str">
        <f>HYPERLINK("https://ota.tournamentsoftware.com/player-profile/3F7A519A-489C-490B-9AA2-F4FCBBCA474F", "Link")</f>
        <v>Link</v>
      </c>
      <c r="E703" s="2">
        <v>110.649</v>
      </c>
      <c r="F703" s="3">
        <v>18</v>
      </c>
      <c r="G703" t="s">
        <v>29</v>
      </c>
      <c r="H703" t="s">
        <v>1028</v>
      </c>
      <c r="I703" t="s">
        <v>48</v>
      </c>
      <c r="J703" s="3">
        <v>92</v>
      </c>
      <c r="K703" t="s">
        <v>1982</v>
      </c>
      <c r="L703" t="s">
        <v>1983</v>
      </c>
      <c r="M703" s="4">
        <v>0.54</v>
      </c>
      <c r="N703" s="4">
        <v>0.69</v>
      </c>
    </row>
    <row r="704" spans="1:14" x14ac:dyDescent="0.4">
      <c r="A704">
        <v>703</v>
      </c>
      <c r="B704">
        <v>2013</v>
      </c>
      <c r="C704" t="s">
        <v>1984</v>
      </c>
      <c r="D704" t="str">
        <f>HYPERLINK("https://ota.tournamentsoftware.com/player-profile/F653FB3B-D606-4799-98B3-B9B8F7D1D120", "Link")</f>
        <v>Link</v>
      </c>
      <c r="E704" s="2">
        <v>110.16</v>
      </c>
      <c r="F704" s="3">
        <v>14</v>
      </c>
      <c r="G704" t="s">
        <v>29</v>
      </c>
      <c r="H704" t="s">
        <v>1985</v>
      </c>
      <c r="I704">
        <v>34.6</v>
      </c>
      <c r="J704" s="3">
        <v>54</v>
      </c>
      <c r="K704" t="s">
        <v>1406</v>
      </c>
      <c r="L704" t="s">
        <v>622</v>
      </c>
      <c r="M704" s="4">
        <v>0.41</v>
      </c>
      <c r="N704" s="4">
        <v>0.33</v>
      </c>
    </row>
    <row r="705" spans="1:14" x14ac:dyDescent="0.4">
      <c r="A705">
        <v>704</v>
      </c>
      <c r="B705">
        <v>2015</v>
      </c>
      <c r="C705" t="s">
        <v>1986</v>
      </c>
      <c r="D705" t="str">
        <f>HYPERLINK("https://ota.tournamentsoftware.com/player-profile/30AB6566-4805-4DA5-90A9-E6D59F3D0D64", "Link")</f>
        <v>Link</v>
      </c>
      <c r="E705" s="2">
        <v>109.619</v>
      </c>
      <c r="F705" s="3">
        <v>18</v>
      </c>
      <c r="G705" t="s">
        <v>20</v>
      </c>
      <c r="H705" t="s">
        <v>21</v>
      </c>
      <c r="I705">
        <v>33.4</v>
      </c>
      <c r="J705" s="3">
        <v>117</v>
      </c>
      <c r="K705" t="s">
        <v>1987</v>
      </c>
      <c r="L705" t="s">
        <v>1988</v>
      </c>
      <c r="M705" s="4">
        <v>0.54</v>
      </c>
      <c r="N705" s="4">
        <v>0.56000000000000005</v>
      </c>
    </row>
    <row r="706" spans="1:14" x14ac:dyDescent="0.4">
      <c r="A706">
        <v>705</v>
      </c>
      <c r="B706">
        <v>2012</v>
      </c>
      <c r="C706" t="s">
        <v>1989</v>
      </c>
      <c r="D706" t="str">
        <f>HYPERLINK("https://ota.tournamentsoftware.com/player-profile/EF0FB6C4-F27A-45FB-BD75-3C3F4D9EF188", "Link")</f>
        <v>Link</v>
      </c>
      <c r="E706" s="2">
        <v>108.876</v>
      </c>
      <c r="F706" s="3">
        <v>2</v>
      </c>
      <c r="G706" t="s">
        <v>29</v>
      </c>
      <c r="H706" t="s">
        <v>1784</v>
      </c>
      <c r="I706">
        <v>37.200000000000003</v>
      </c>
      <c r="J706" s="3">
        <v>55</v>
      </c>
      <c r="K706" t="s">
        <v>1990</v>
      </c>
      <c r="L706" t="s">
        <v>31</v>
      </c>
      <c r="M706" s="4">
        <v>0.36</v>
      </c>
      <c r="N706" s="4">
        <v>0</v>
      </c>
    </row>
    <row r="707" spans="1:14" x14ac:dyDescent="0.4">
      <c r="A707">
        <v>706</v>
      </c>
      <c r="B707">
        <v>2014</v>
      </c>
      <c r="C707" t="s">
        <v>1991</v>
      </c>
      <c r="D707" t="str">
        <f>HYPERLINK("https://ota.tournamentsoftware.com/player-profile/72814258-2663-4B9E-9EB1-0A804D79578E", "Link")</f>
        <v>Link</v>
      </c>
      <c r="E707" s="2">
        <v>107.581</v>
      </c>
      <c r="F707" s="3">
        <v>9</v>
      </c>
      <c r="G707" t="s">
        <v>29</v>
      </c>
      <c r="H707" t="s">
        <v>528</v>
      </c>
      <c r="I707" t="s">
        <v>48</v>
      </c>
      <c r="J707" s="3">
        <v>26</v>
      </c>
      <c r="K707" t="s">
        <v>262</v>
      </c>
      <c r="L707" t="s">
        <v>1992</v>
      </c>
      <c r="M707" s="4">
        <v>0.62</v>
      </c>
      <c r="N707" s="4">
        <v>0.63</v>
      </c>
    </row>
    <row r="708" spans="1:14" x14ac:dyDescent="0.4">
      <c r="A708">
        <v>707</v>
      </c>
      <c r="B708">
        <v>2013</v>
      </c>
      <c r="C708" t="s">
        <v>1993</v>
      </c>
      <c r="D708" t="str">
        <f>HYPERLINK("https://ota.tournamentsoftware.com/player-profile/64A4B4DB-7753-451A-A411-16FC49084860", "Link")</f>
        <v>Link</v>
      </c>
      <c r="E708" s="2">
        <v>107.489</v>
      </c>
      <c r="F708" s="3">
        <v>17</v>
      </c>
      <c r="G708" t="s">
        <v>20</v>
      </c>
      <c r="H708" t="s">
        <v>16</v>
      </c>
      <c r="I708">
        <v>37.299999999999997</v>
      </c>
      <c r="J708" s="3">
        <v>141</v>
      </c>
      <c r="K708" t="s">
        <v>1994</v>
      </c>
      <c r="L708" t="s">
        <v>1995</v>
      </c>
      <c r="M708" s="4">
        <v>0.13</v>
      </c>
      <c r="N708" s="4">
        <v>0.13</v>
      </c>
    </row>
    <row r="709" spans="1:14" x14ac:dyDescent="0.4">
      <c r="A709">
        <v>708</v>
      </c>
      <c r="B709">
        <v>2014</v>
      </c>
      <c r="C709" t="s">
        <v>1996</v>
      </c>
      <c r="D709" t="str">
        <f>HYPERLINK("https://ota.tournamentsoftware.com/player-profile/D0843107-5FBA-4EB4-8781-B60B5E7E1319", "Link")</f>
        <v>Link</v>
      </c>
      <c r="E709" s="2">
        <v>107.414</v>
      </c>
      <c r="F709" s="3">
        <v>16</v>
      </c>
      <c r="G709" t="s">
        <v>29</v>
      </c>
      <c r="H709" t="s">
        <v>277</v>
      </c>
      <c r="I709">
        <v>35.1</v>
      </c>
      <c r="J709" s="3">
        <v>109</v>
      </c>
      <c r="K709" t="s">
        <v>1997</v>
      </c>
      <c r="L709" t="s">
        <v>1147</v>
      </c>
      <c r="M709" s="4">
        <v>0.35</v>
      </c>
      <c r="N709" s="4">
        <v>0.36</v>
      </c>
    </row>
    <row r="710" spans="1:14" x14ac:dyDescent="0.4">
      <c r="A710">
        <v>709</v>
      </c>
      <c r="B710">
        <v>2013</v>
      </c>
      <c r="C710" t="s">
        <v>1998</v>
      </c>
      <c r="D710" t="str">
        <f>HYPERLINK("https://ota.tournamentsoftware.com/player-profile/3982667F-BB84-4AC0-B470-E67D90581DB9", "Link")</f>
        <v>Link</v>
      </c>
      <c r="E710" s="2">
        <v>106.25700000000001</v>
      </c>
      <c r="F710" s="3">
        <v>19</v>
      </c>
      <c r="G710" t="s">
        <v>20</v>
      </c>
      <c r="H710" t="s">
        <v>900</v>
      </c>
      <c r="I710">
        <v>35.299999999999997</v>
      </c>
      <c r="J710" s="3">
        <v>90</v>
      </c>
      <c r="K710" t="s">
        <v>1999</v>
      </c>
      <c r="L710" t="s">
        <v>1064</v>
      </c>
      <c r="M710" s="4">
        <v>0.2</v>
      </c>
      <c r="N710" s="4">
        <v>0.36</v>
      </c>
    </row>
    <row r="711" spans="1:14" x14ac:dyDescent="0.4">
      <c r="A711">
        <v>710</v>
      </c>
      <c r="B711">
        <v>2014</v>
      </c>
      <c r="C711" t="s">
        <v>2000</v>
      </c>
      <c r="D711" t="str">
        <f>HYPERLINK("https://ota.tournamentsoftware.com/player-profile/275CB740-D9DB-4B51-8864-93A2F0D91A3B", "Link")</f>
        <v>Link</v>
      </c>
      <c r="E711" s="2">
        <v>105.422</v>
      </c>
      <c r="F711" s="3">
        <v>13</v>
      </c>
      <c r="G711" t="s">
        <v>109</v>
      </c>
      <c r="H711" t="s">
        <v>281</v>
      </c>
      <c r="I711">
        <v>32</v>
      </c>
      <c r="J711" s="3">
        <v>91</v>
      </c>
      <c r="K711" t="s">
        <v>1543</v>
      </c>
      <c r="L711" t="s">
        <v>2001</v>
      </c>
      <c r="M711" s="4">
        <v>0.44</v>
      </c>
      <c r="N711" s="4">
        <v>0.63</v>
      </c>
    </row>
    <row r="712" spans="1:14" x14ac:dyDescent="0.4">
      <c r="A712">
        <v>711</v>
      </c>
      <c r="B712">
        <v>2013</v>
      </c>
      <c r="C712" t="s">
        <v>2002</v>
      </c>
      <c r="D712" t="str">
        <f>HYPERLINK("https://ota.tournamentsoftware.com/player-profile/C2843F1F-C701-4853-A79C-051450F19D77", "Link")</f>
        <v>Link</v>
      </c>
      <c r="E712" s="2">
        <v>104.93899999999999</v>
      </c>
      <c r="F712" s="3">
        <v>7</v>
      </c>
      <c r="G712" t="s">
        <v>29</v>
      </c>
      <c r="H712" t="s">
        <v>2003</v>
      </c>
      <c r="I712">
        <v>33.299999999999997</v>
      </c>
      <c r="J712" s="3">
        <v>20</v>
      </c>
      <c r="K712" t="s">
        <v>341</v>
      </c>
      <c r="L712" t="s">
        <v>932</v>
      </c>
      <c r="M712" s="4">
        <v>0.4</v>
      </c>
      <c r="N712" s="4">
        <v>0.3</v>
      </c>
    </row>
    <row r="713" spans="1:14" x14ac:dyDescent="0.4">
      <c r="A713">
        <v>712</v>
      </c>
      <c r="B713">
        <v>2016</v>
      </c>
      <c r="C713" t="s">
        <v>2004</v>
      </c>
      <c r="D713" t="str">
        <f>HYPERLINK("https://ota.tournamentsoftware.com/player-profile/ADDD5986-263D-4338-B6C0-6F72A2AC55F7", "Link")</f>
        <v>Link</v>
      </c>
      <c r="E713" s="2">
        <v>103.751</v>
      </c>
      <c r="F713" s="3">
        <v>22</v>
      </c>
      <c r="G713" t="s">
        <v>29</v>
      </c>
      <c r="H713" t="s">
        <v>141</v>
      </c>
      <c r="I713">
        <v>36.5</v>
      </c>
      <c r="J713" s="3">
        <v>179</v>
      </c>
      <c r="K713" t="s">
        <v>2005</v>
      </c>
      <c r="L713" t="s">
        <v>2006</v>
      </c>
      <c r="M713" s="4">
        <v>0.42</v>
      </c>
      <c r="N713" s="4">
        <v>0.46</v>
      </c>
    </row>
    <row r="714" spans="1:14" x14ac:dyDescent="0.4">
      <c r="A714">
        <v>713</v>
      </c>
      <c r="B714">
        <v>2015</v>
      </c>
      <c r="C714" t="s">
        <v>2007</v>
      </c>
      <c r="D714" t="str">
        <f>HYPERLINK("https://ota.tournamentsoftware.com/player-profile/55F5BC4F-092C-4C72-BFDC-3F60E618D778", "Link")</f>
        <v>Link</v>
      </c>
      <c r="E714" s="2">
        <v>103.21599999999999</v>
      </c>
      <c r="F714" s="3">
        <v>16</v>
      </c>
      <c r="G714" t="s">
        <v>29</v>
      </c>
      <c r="H714" t="s">
        <v>103</v>
      </c>
      <c r="I714" t="s">
        <v>48</v>
      </c>
      <c r="J714" s="3">
        <v>114</v>
      </c>
      <c r="K714" t="s">
        <v>1093</v>
      </c>
      <c r="L714" t="s">
        <v>2008</v>
      </c>
      <c r="M714" s="4">
        <v>0.57999999999999996</v>
      </c>
      <c r="N714" s="4">
        <v>0.4</v>
      </c>
    </row>
    <row r="715" spans="1:14" x14ac:dyDescent="0.4">
      <c r="A715">
        <v>714</v>
      </c>
      <c r="B715">
        <v>2014</v>
      </c>
      <c r="C715" t="s">
        <v>2009</v>
      </c>
      <c r="D715" t="str">
        <f>HYPERLINK("https://ota.tournamentsoftware.com/player-profile/D12578BD-BDAF-471D-B53C-09B281C916CB", "Link")</f>
        <v>Link</v>
      </c>
      <c r="E715" s="2">
        <v>102.512</v>
      </c>
      <c r="F715" s="3">
        <v>16</v>
      </c>
      <c r="G715" t="s">
        <v>29</v>
      </c>
      <c r="H715" t="s">
        <v>364</v>
      </c>
      <c r="I715">
        <v>36.799999999999997</v>
      </c>
      <c r="J715" s="3">
        <v>93</v>
      </c>
      <c r="K715" t="s">
        <v>2010</v>
      </c>
      <c r="L715" t="s">
        <v>1895</v>
      </c>
      <c r="M715" s="4">
        <v>0.31</v>
      </c>
      <c r="N715" s="4">
        <v>0.4</v>
      </c>
    </row>
    <row r="716" spans="1:14" x14ac:dyDescent="0.4">
      <c r="A716">
        <v>715</v>
      </c>
      <c r="B716">
        <v>2013</v>
      </c>
      <c r="C716" t="s">
        <v>2011</v>
      </c>
      <c r="D716" t="str">
        <f>HYPERLINK("https://ota.tournamentsoftware.com/player-profile/7B9DB032-AD8C-41C5-A138-CF844016B7C1", "Link")</f>
        <v>Link</v>
      </c>
      <c r="E716" s="2">
        <v>102.511</v>
      </c>
      <c r="F716" s="3">
        <v>6</v>
      </c>
      <c r="G716" t="s">
        <v>29</v>
      </c>
      <c r="H716" t="s">
        <v>813</v>
      </c>
      <c r="I716">
        <v>38.1</v>
      </c>
      <c r="J716" s="3">
        <v>39</v>
      </c>
      <c r="K716" t="s">
        <v>1940</v>
      </c>
      <c r="L716" t="s">
        <v>1324</v>
      </c>
      <c r="M716" s="4">
        <v>0.31</v>
      </c>
      <c r="N716" s="4">
        <v>0.12</v>
      </c>
    </row>
    <row r="717" spans="1:14" x14ac:dyDescent="0.4">
      <c r="A717">
        <v>716</v>
      </c>
      <c r="B717">
        <v>2014</v>
      </c>
      <c r="C717" t="s">
        <v>2012</v>
      </c>
      <c r="D717" t="str">
        <f>HYPERLINK("https://ota.tournamentsoftware.com/player-profile/B3E7011D-10BF-4CEB-9D49-F24BAE1BE1A2", "Link")</f>
        <v>Link</v>
      </c>
      <c r="E717" s="2">
        <v>102.277</v>
      </c>
      <c r="F717" s="3">
        <v>5</v>
      </c>
      <c r="G717" t="s">
        <v>15</v>
      </c>
      <c r="H717" t="s">
        <v>271</v>
      </c>
      <c r="I717">
        <v>40</v>
      </c>
      <c r="J717" s="3">
        <v>14</v>
      </c>
      <c r="K717" t="s">
        <v>2013</v>
      </c>
      <c r="L717" t="s">
        <v>2013</v>
      </c>
      <c r="M717" s="4">
        <v>0</v>
      </c>
      <c r="N717" s="4">
        <v>0</v>
      </c>
    </row>
    <row r="718" spans="1:14" x14ac:dyDescent="0.4">
      <c r="A718">
        <v>717</v>
      </c>
      <c r="B718">
        <v>2015</v>
      </c>
      <c r="C718" t="s">
        <v>2014</v>
      </c>
      <c r="D718" t="str">
        <f>HYPERLINK("https://ota.tournamentsoftware.com/player-profile/FAA88C80-170D-40C3-8A88-6B81077D1F02", "Link")</f>
        <v>Link</v>
      </c>
      <c r="E718" s="2">
        <v>102.129</v>
      </c>
      <c r="F718" s="3">
        <v>23</v>
      </c>
      <c r="G718" t="s">
        <v>25</v>
      </c>
      <c r="H718" t="s">
        <v>311</v>
      </c>
      <c r="I718">
        <v>36.799999999999997</v>
      </c>
      <c r="J718" s="3">
        <v>155</v>
      </c>
      <c r="K718" t="s">
        <v>2015</v>
      </c>
      <c r="L718" t="s">
        <v>1550</v>
      </c>
      <c r="M718" s="4">
        <v>0.34</v>
      </c>
      <c r="N718" s="4">
        <v>0.31</v>
      </c>
    </row>
    <row r="719" spans="1:14" x14ac:dyDescent="0.4">
      <c r="A719">
        <v>718</v>
      </c>
      <c r="B719">
        <v>2010</v>
      </c>
      <c r="C719" t="s">
        <v>2016</v>
      </c>
      <c r="D719" t="str">
        <f>HYPERLINK("https://ota.tournamentsoftware.com/player-profile/7AE677DA-8452-4242-AF91-9CC13BF6698D", "Link")</f>
        <v>Link</v>
      </c>
      <c r="E719" s="2">
        <v>101.81699999999999</v>
      </c>
      <c r="F719" s="3">
        <v>4</v>
      </c>
      <c r="G719" t="s">
        <v>29</v>
      </c>
      <c r="H719" t="s">
        <v>679</v>
      </c>
      <c r="I719">
        <v>36.700000000000003</v>
      </c>
      <c r="J719" s="3">
        <v>33</v>
      </c>
      <c r="K719" t="s">
        <v>2017</v>
      </c>
      <c r="L719" t="s">
        <v>534</v>
      </c>
      <c r="M719" s="4">
        <v>0.18</v>
      </c>
      <c r="N719" s="4">
        <v>0.56999999999999995</v>
      </c>
    </row>
    <row r="720" spans="1:14" x14ac:dyDescent="0.4">
      <c r="A720">
        <v>719</v>
      </c>
      <c r="B720">
        <v>2012</v>
      </c>
      <c r="C720" t="s">
        <v>2018</v>
      </c>
      <c r="D720" t="str">
        <f>HYPERLINK("https://ota.tournamentsoftware.com/player-profile/99C1CB63-E70E-4FB5-A115-3A252251FA67", "Link")</f>
        <v>Link</v>
      </c>
      <c r="E720" s="2">
        <v>100.82899999999999</v>
      </c>
      <c r="F720" s="3">
        <v>1</v>
      </c>
      <c r="G720" t="s">
        <v>20</v>
      </c>
      <c r="H720" t="s">
        <v>16</v>
      </c>
      <c r="I720" t="s">
        <v>48</v>
      </c>
      <c r="J720" s="3">
        <v>3</v>
      </c>
      <c r="K720" t="s">
        <v>1978</v>
      </c>
      <c r="L720" t="s">
        <v>1978</v>
      </c>
      <c r="M720" s="4">
        <v>0.67</v>
      </c>
      <c r="N720" s="4">
        <v>0.67</v>
      </c>
    </row>
    <row r="721" spans="1:14" x14ac:dyDescent="0.4">
      <c r="A721">
        <v>720</v>
      </c>
      <c r="B721">
        <v>2012</v>
      </c>
      <c r="C721" t="s">
        <v>2019</v>
      </c>
      <c r="D721" t="str">
        <f>HYPERLINK("https://ota.tournamentsoftware.com/player-profile/B596341F-BD27-43AF-8888-AAD072F39AFB", "Link")</f>
        <v>Link</v>
      </c>
      <c r="E721" s="2">
        <v>100.44</v>
      </c>
      <c r="F721" s="3">
        <v>2</v>
      </c>
      <c r="G721" t="s">
        <v>20</v>
      </c>
      <c r="H721" t="s">
        <v>16</v>
      </c>
      <c r="I721">
        <v>30.1</v>
      </c>
      <c r="J721" s="3">
        <v>159</v>
      </c>
      <c r="K721" t="s">
        <v>2020</v>
      </c>
      <c r="L721" t="s">
        <v>31</v>
      </c>
      <c r="M721" s="4">
        <v>0.56000000000000005</v>
      </c>
      <c r="N721" s="4">
        <v>0</v>
      </c>
    </row>
    <row r="722" spans="1:14" x14ac:dyDescent="0.4">
      <c r="A722">
        <v>721</v>
      </c>
      <c r="B722">
        <v>2010</v>
      </c>
      <c r="C722" t="s">
        <v>2021</v>
      </c>
      <c r="D722" t="str">
        <f>HYPERLINK("https://ota.tournamentsoftware.com/player-profile/D3075D32-4EE5-41CA-9FAE-3969B3B78037", "Link")</f>
        <v>Link</v>
      </c>
      <c r="E722" s="2">
        <v>100.25700000000001</v>
      </c>
      <c r="F722" s="3">
        <v>3</v>
      </c>
      <c r="G722" t="s">
        <v>20</v>
      </c>
      <c r="H722" t="s">
        <v>919</v>
      </c>
      <c r="I722">
        <v>27.2</v>
      </c>
      <c r="J722" s="3">
        <v>153</v>
      </c>
      <c r="K722" t="s">
        <v>2022</v>
      </c>
      <c r="L722" t="s">
        <v>1524</v>
      </c>
      <c r="M722" s="4">
        <v>0.46</v>
      </c>
      <c r="N722" s="4">
        <v>0</v>
      </c>
    </row>
    <row r="723" spans="1:14" x14ac:dyDescent="0.4">
      <c r="A723">
        <v>722</v>
      </c>
      <c r="B723">
        <v>2012</v>
      </c>
      <c r="C723" t="s">
        <v>2023</v>
      </c>
      <c r="D723" t="str">
        <f>HYPERLINK("https://ota.tournamentsoftware.com/player-profile/45A852A0-99BB-4449-9FC4-8CAEBA4B404C", "Link")</f>
        <v>Link</v>
      </c>
      <c r="E723" s="2">
        <v>100.008</v>
      </c>
      <c r="F723" s="3">
        <v>5</v>
      </c>
      <c r="G723" t="s">
        <v>29</v>
      </c>
      <c r="H723" t="s">
        <v>2024</v>
      </c>
      <c r="I723" t="s">
        <v>48</v>
      </c>
      <c r="J723" s="3">
        <v>137</v>
      </c>
      <c r="K723" t="s">
        <v>2025</v>
      </c>
      <c r="L723" t="s">
        <v>31</v>
      </c>
      <c r="M723" s="4">
        <v>0.53</v>
      </c>
      <c r="N723" s="4">
        <v>0</v>
      </c>
    </row>
    <row r="724" spans="1:14" x14ac:dyDescent="0.4">
      <c r="A724">
        <v>723</v>
      </c>
      <c r="B724">
        <v>2012</v>
      </c>
      <c r="C724" t="s">
        <v>2026</v>
      </c>
      <c r="D724" t="str">
        <f>HYPERLINK("https://ota.tournamentsoftware.com/player-profile/62E06657-0480-40D7-B491-B99DA20E11DF", "Link")</f>
        <v>Link</v>
      </c>
      <c r="E724" s="2">
        <v>99.619</v>
      </c>
      <c r="F724" s="3">
        <v>8</v>
      </c>
      <c r="G724" t="s">
        <v>29</v>
      </c>
      <c r="H724" t="s">
        <v>199</v>
      </c>
      <c r="I724">
        <v>35.5</v>
      </c>
      <c r="J724" s="3">
        <v>52</v>
      </c>
      <c r="K724" t="s">
        <v>2027</v>
      </c>
      <c r="L724" t="s">
        <v>1433</v>
      </c>
      <c r="M724" s="4">
        <v>0.37</v>
      </c>
      <c r="N724" s="4">
        <v>0.38</v>
      </c>
    </row>
    <row r="725" spans="1:14" x14ac:dyDescent="0.4">
      <c r="A725">
        <v>724</v>
      </c>
      <c r="B725">
        <v>2011</v>
      </c>
      <c r="C725" t="s">
        <v>2028</v>
      </c>
      <c r="D725" t="str">
        <f>HYPERLINK("https://ota.tournamentsoftware.com/player-profile/10B645F2-8705-4CC1-80AC-333F646386D7", "Link")</f>
        <v>Link</v>
      </c>
      <c r="E725" s="2">
        <v>99.578000000000003</v>
      </c>
      <c r="F725" s="3">
        <v>5</v>
      </c>
      <c r="G725" t="s">
        <v>20</v>
      </c>
      <c r="H725" t="s">
        <v>2029</v>
      </c>
      <c r="I725">
        <v>37.9</v>
      </c>
      <c r="J725" s="3">
        <v>14</v>
      </c>
      <c r="K725" t="s">
        <v>777</v>
      </c>
      <c r="L725" t="s">
        <v>1364</v>
      </c>
      <c r="M725" s="4">
        <v>0.21</v>
      </c>
      <c r="N725" s="4">
        <v>0.11</v>
      </c>
    </row>
    <row r="726" spans="1:14" x14ac:dyDescent="0.4">
      <c r="A726">
        <v>725</v>
      </c>
      <c r="B726">
        <v>2014</v>
      </c>
      <c r="C726" t="s">
        <v>2030</v>
      </c>
      <c r="D726" t="str">
        <f>HYPERLINK("https://ota.tournamentsoftware.com/player-profile/A0100B59-21FE-4244-87C6-16B2DE0DBB96", "Link")</f>
        <v>Link</v>
      </c>
      <c r="E726" s="2">
        <v>99.278000000000006</v>
      </c>
      <c r="F726" s="3">
        <v>12</v>
      </c>
      <c r="G726" t="s">
        <v>29</v>
      </c>
      <c r="H726" t="s">
        <v>277</v>
      </c>
      <c r="I726">
        <v>36.6</v>
      </c>
      <c r="J726" s="3">
        <v>106</v>
      </c>
      <c r="K726" t="s">
        <v>2031</v>
      </c>
      <c r="L726" t="s">
        <v>730</v>
      </c>
      <c r="M726" s="4">
        <v>0.42</v>
      </c>
      <c r="N726" s="4">
        <v>0.25</v>
      </c>
    </row>
    <row r="727" spans="1:14" x14ac:dyDescent="0.4">
      <c r="A727">
        <v>726</v>
      </c>
      <c r="B727">
        <v>2013</v>
      </c>
      <c r="C727" t="s">
        <v>2032</v>
      </c>
      <c r="D727" t="str">
        <f>HYPERLINK("https://ota.tournamentsoftware.com/player-profile/29B7928E-12B2-4691-8B4A-1DE557B4F068", "Link")</f>
        <v>Link</v>
      </c>
      <c r="E727" s="2">
        <v>98.656999999999996</v>
      </c>
      <c r="F727" s="3">
        <v>14</v>
      </c>
      <c r="G727" t="s">
        <v>29</v>
      </c>
      <c r="H727" t="s">
        <v>686</v>
      </c>
      <c r="I727">
        <v>34.1</v>
      </c>
      <c r="J727" s="3">
        <v>56</v>
      </c>
      <c r="K727" t="s">
        <v>2033</v>
      </c>
      <c r="L727" t="s">
        <v>135</v>
      </c>
      <c r="M727" s="4">
        <v>0.66</v>
      </c>
      <c r="N727" s="4">
        <v>0.5</v>
      </c>
    </row>
    <row r="728" spans="1:14" x14ac:dyDescent="0.4">
      <c r="A728">
        <v>727</v>
      </c>
      <c r="B728">
        <v>2012</v>
      </c>
      <c r="C728" t="s">
        <v>2034</v>
      </c>
      <c r="D728" t="str">
        <f>HYPERLINK("https://ota.tournamentsoftware.com/player-profile/952E408B-05E4-4A69-8AAE-E4D164512A9E", "Link")</f>
        <v>Link</v>
      </c>
      <c r="E728" s="2">
        <v>98.52</v>
      </c>
      <c r="F728" s="3">
        <v>9</v>
      </c>
      <c r="G728" t="s">
        <v>29</v>
      </c>
      <c r="H728" t="s">
        <v>1470</v>
      </c>
      <c r="I728">
        <v>36</v>
      </c>
      <c r="J728" s="3">
        <v>103</v>
      </c>
      <c r="K728" t="s">
        <v>2035</v>
      </c>
      <c r="L728" t="s">
        <v>1131</v>
      </c>
      <c r="M728" s="4">
        <v>0.59</v>
      </c>
      <c r="N728" s="4">
        <v>0.45</v>
      </c>
    </row>
    <row r="729" spans="1:14" x14ac:dyDescent="0.4">
      <c r="A729">
        <v>728</v>
      </c>
      <c r="B729">
        <v>2014</v>
      </c>
      <c r="C729" t="s">
        <v>2036</v>
      </c>
      <c r="D729" t="str">
        <f>HYPERLINK("https://ota.tournamentsoftware.com/player-profile/6CFCC91C-A66C-46B5-8430-D2D78CE3EE4B", "Link")</f>
        <v>Link</v>
      </c>
      <c r="E729" s="2">
        <v>98.492000000000004</v>
      </c>
      <c r="F729" s="3">
        <v>13</v>
      </c>
      <c r="G729" t="s">
        <v>109</v>
      </c>
      <c r="H729" t="s">
        <v>440</v>
      </c>
      <c r="I729" t="s">
        <v>48</v>
      </c>
      <c r="J729" s="3">
        <v>101</v>
      </c>
      <c r="K729" t="s">
        <v>2037</v>
      </c>
      <c r="L729" t="s">
        <v>1942</v>
      </c>
      <c r="M729" s="4">
        <v>0.4</v>
      </c>
      <c r="N729" s="4">
        <v>0.38</v>
      </c>
    </row>
    <row r="730" spans="1:14" x14ac:dyDescent="0.4">
      <c r="A730">
        <v>729</v>
      </c>
      <c r="B730">
        <v>2016</v>
      </c>
      <c r="C730" t="s">
        <v>2038</v>
      </c>
      <c r="D730" t="str">
        <f>HYPERLINK("https://ota.tournamentsoftware.com/player-profile/725BC980-EB67-418A-9A78-144DF7D7CE7E", "Link")</f>
        <v>Link</v>
      </c>
      <c r="E730" s="2">
        <v>98.471999999999994</v>
      </c>
      <c r="F730" s="3">
        <v>19</v>
      </c>
      <c r="G730" t="s">
        <v>29</v>
      </c>
      <c r="H730" t="s">
        <v>16</v>
      </c>
      <c r="I730">
        <v>35</v>
      </c>
      <c r="J730" s="3">
        <v>54</v>
      </c>
      <c r="K730" t="s">
        <v>2039</v>
      </c>
      <c r="L730" t="s">
        <v>2039</v>
      </c>
      <c r="M730" s="4">
        <v>0.59</v>
      </c>
      <c r="N730" s="4">
        <v>0.59</v>
      </c>
    </row>
    <row r="731" spans="1:14" x14ac:dyDescent="0.4">
      <c r="A731">
        <v>730</v>
      </c>
      <c r="B731">
        <v>2015</v>
      </c>
      <c r="C731" t="s">
        <v>2040</v>
      </c>
      <c r="D731" t="str">
        <f>HYPERLINK("https://ota.tournamentsoftware.com/player-profile/BCA3B83C-81C0-4469-B3DA-4E3234E6CA0A", "Link")</f>
        <v>Link</v>
      </c>
      <c r="E731" s="2">
        <v>98.126000000000005</v>
      </c>
      <c r="F731" s="3">
        <v>20</v>
      </c>
      <c r="G731" t="s">
        <v>25</v>
      </c>
      <c r="H731" t="s">
        <v>60</v>
      </c>
      <c r="I731">
        <v>36.9</v>
      </c>
      <c r="J731" s="3">
        <v>89</v>
      </c>
      <c r="K731" t="s">
        <v>2041</v>
      </c>
      <c r="L731" t="s">
        <v>2042</v>
      </c>
      <c r="M731" s="4">
        <v>0.4</v>
      </c>
      <c r="N731" s="4">
        <v>0.33</v>
      </c>
    </row>
    <row r="732" spans="1:14" x14ac:dyDescent="0.4">
      <c r="A732">
        <v>731</v>
      </c>
      <c r="B732">
        <v>2012</v>
      </c>
      <c r="C732" t="s">
        <v>2043</v>
      </c>
      <c r="D732" t="str">
        <f>HYPERLINK("https://ota.tournamentsoftware.com/player-profile/762C717D-CB5B-4A61-877E-C235D5E4911F", "Link")</f>
        <v>Link</v>
      </c>
      <c r="E732" s="2">
        <v>98.04</v>
      </c>
      <c r="F732" s="3">
        <v>4</v>
      </c>
      <c r="G732" t="s">
        <v>20</v>
      </c>
      <c r="H732" t="s">
        <v>1531</v>
      </c>
      <c r="I732" t="s">
        <v>48</v>
      </c>
      <c r="J732" s="3">
        <v>10</v>
      </c>
      <c r="K732" t="s">
        <v>2044</v>
      </c>
      <c r="L732" t="s">
        <v>523</v>
      </c>
      <c r="M732" s="4">
        <v>0.7</v>
      </c>
      <c r="N732" s="4">
        <v>0.5</v>
      </c>
    </row>
    <row r="733" spans="1:14" x14ac:dyDescent="0.4">
      <c r="A733">
        <v>732</v>
      </c>
      <c r="B733">
        <v>2010</v>
      </c>
      <c r="C733" t="s">
        <v>2045</v>
      </c>
      <c r="D733" t="str">
        <f>HYPERLINK("https://ota.tournamentsoftware.com/player-profile/0AF7C405-19CC-4A5A-809F-704B8C7BEF0C", "Link")</f>
        <v>Link</v>
      </c>
      <c r="E733" s="2">
        <v>97.278000000000006</v>
      </c>
      <c r="F733" s="3">
        <v>7</v>
      </c>
      <c r="G733" t="s">
        <v>109</v>
      </c>
      <c r="H733" t="s">
        <v>1714</v>
      </c>
      <c r="I733">
        <v>35.6</v>
      </c>
      <c r="J733" s="3">
        <v>31</v>
      </c>
      <c r="K733" t="s">
        <v>2046</v>
      </c>
      <c r="L733" t="s">
        <v>1697</v>
      </c>
      <c r="M733" s="4">
        <v>0.1</v>
      </c>
      <c r="N733" s="4">
        <v>0</v>
      </c>
    </row>
    <row r="734" spans="1:14" x14ac:dyDescent="0.4">
      <c r="A734">
        <v>733</v>
      </c>
      <c r="B734">
        <v>2015</v>
      </c>
      <c r="C734" t="s">
        <v>2047</v>
      </c>
      <c r="D734" t="str">
        <f>HYPERLINK("https://ota.tournamentsoftware.com/player-profile/2832D590-1D78-4B7F-B573-E2D932040ADB", "Link")</f>
        <v>Link</v>
      </c>
      <c r="E734" s="2">
        <v>96.917000000000002</v>
      </c>
      <c r="F734" s="3">
        <v>12</v>
      </c>
      <c r="G734" t="s">
        <v>25</v>
      </c>
      <c r="H734" t="s">
        <v>99</v>
      </c>
      <c r="I734">
        <v>35.700000000000003</v>
      </c>
      <c r="J734" s="3">
        <v>63</v>
      </c>
      <c r="K734" t="s">
        <v>2048</v>
      </c>
      <c r="L734" t="s">
        <v>720</v>
      </c>
      <c r="M734" s="4">
        <v>0.46</v>
      </c>
      <c r="N734" s="4">
        <v>0.44</v>
      </c>
    </row>
    <row r="735" spans="1:14" x14ac:dyDescent="0.4">
      <c r="A735">
        <v>734</v>
      </c>
      <c r="B735">
        <v>2012</v>
      </c>
      <c r="C735" t="s">
        <v>2049</v>
      </c>
      <c r="D735" t="str">
        <f>HYPERLINK("https://ota.tournamentsoftware.com/player-profile/CF2B02DD-EFB8-49FD-8774-B98F78A30C1A", "Link")</f>
        <v>Link</v>
      </c>
      <c r="E735" s="2">
        <v>96.712999999999994</v>
      </c>
      <c r="F735" s="3">
        <v>3</v>
      </c>
      <c r="G735" t="s">
        <v>25</v>
      </c>
      <c r="H735" t="s">
        <v>2050</v>
      </c>
      <c r="I735">
        <v>34.6</v>
      </c>
      <c r="J735" s="3">
        <v>32</v>
      </c>
      <c r="K735" t="s">
        <v>607</v>
      </c>
      <c r="L735" t="s">
        <v>625</v>
      </c>
      <c r="M735" s="4">
        <v>0.56000000000000005</v>
      </c>
      <c r="N735" s="4">
        <v>0.5</v>
      </c>
    </row>
    <row r="736" spans="1:14" x14ac:dyDescent="0.4">
      <c r="A736">
        <v>735</v>
      </c>
      <c r="B736">
        <v>2012</v>
      </c>
      <c r="C736" t="s">
        <v>2051</v>
      </c>
      <c r="D736" t="str">
        <f>HYPERLINK("https://ota.tournamentsoftware.com/player-profile/927E8E34-8FE2-4B37-81C7-621F5326585C", "Link")</f>
        <v>Link</v>
      </c>
      <c r="E736" s="2">
        <v>96.367000000000004</v>
      </c>
      <c r="F736" s="3">
        <v>7</v>
      </c>
      <c r="G736" t="s">
        <v>29</v>
      </c>
      <c r="H736" t="s">
        <v>686</v>
      </c>
      <c r="I736" t="s">
        <v>48</v>
      </c>
      <c r="J736" s="3">
        <v>48</v>
      </c>
      <c r="K736" t="s">
        <v>2052</v>
      </c>
      <c r="L736" t="s">
        <v>1267</v>
      </c>
      <c r="M736" s="4">
        <v>0.21</v>
      </c>
      <c r="N736" s="4">
        <v>0.25</v>
      </c>
    </row>
    <row r="737" spans="1:14" x14ac:dyDescent="0.4">
      <c r="A737">
        <v>736</v>
      </c>
      <c r="B737">
        <v>2017</v>
      </c>
      <c r="C737" t="s">
        <v>2053</v>
      </c>
      <c r="D737" t="str">
        <f>HYPERLINK("https://ota.tournamentsoftware.com/player-profile/0B954ECB-D503-4C36-BD94-6D389AF0D202", "Link")</f>
        <v>Link</v>
      </c>
      <c r="E737" s="2">
        <v>96.36</v>
      </c>
      <c r="F737" s="3">
        <v>13</v>
      </c>
      <c r="G737" t="s">
        <v>29</v>
      </c>
      <c r="H737" t="s">
        <v>2003</v>
      </c>
      <c r="I737">
        <v>34.4</v>
      </c>
      <c r="J737" s="3">
        <v>40</v>
      </c>
      <c r="K737" t="s">
        <v>949</v>
      </c>
      <c r="L737" t="s">
        <v>2054</v>
      </c>
      <c r="M737" s="4">
        <v>0.56999999999999995</v>
      </c>
      <c r="N737" s="4">
        <v>0.61</v>
      </c>
    </row>
    <row r="738" spans="1:14" x14ac:dyDescent="0.4">
      <c r="A738">
        <v>737</v>
      </c>
      <c r="B738">
        <v>2014</v>
      </c>
      <c r="C738" t="s">
        <v>2055</v>
      </c>
      <c r="D738" t="str">
        <f>HYPERLINK("https://ota.tournamentsoftware.com/player-profile/3301B942-3C8E-4FE4-9470-6F68EC47669D", "Link")</f>
        <v>Link</v>
      </c>
      <c r="E738" s="2">
        <v>95.543999999999997</v>
      </c>
      <c r="F738" s="3">
        <v>22</v>
      </c>
      <c r="G738" t="s">
        <v>29</v>
      </c>
      <c r="H738" t="s">
        <v>471</v>
      </c>
      <c r="I738">
        <v>36.6</v>
      </c>
      <c r="J738" s="3">
        <v>68</v>
      </c>
      <c r="K738" t="s">
        <v>2056</v>
      </c>
      <c r="L738" t="s">
        <v>1039</v>
      </c>
      <c r="M738" s="4">
        <v>0.22</v>
      </c>
      <c r="N738" s="4">
        <v>0.44</v>
      </c>
    </row>
    <row r="739" spans="1:14" x14ac:dyDescent="0.4">
      <c r="A739">
        <v>738</v>
      </c>
      <c r="B739">
        <v>2010</v>
      </c>
      <c r="C739" t="s">
        <v>2057</v>
      </c>
      <c r="D739" t="str">
        <f>HYPERLINK("https://ota.tournamentsoftware.com/player-profile/EAA91356-E943-4927-B8FE-8D5B6BDBF371", "Link")</f>
        <v>Link</v>
      </c>
      <c r="E739" s="2">
        <v>95.4</v>
      </c>
      <c r="F739" s="3">
        <v>1</v>
      </c>
      <c r="G739" t="s">
        <v>29</v>
      </c>
      <c r="H739" t="s">
        <v>70</v>
      </c>
      <c r="I739">
        <v>33.4</v>
      </c>
      <c r="J739" s="3">
        <v>11</v>
      </c>
      <c r="K739" t="s">
        <v>1131</v>
      </c>
      <c r="L739" t="s">
        <v>1240</v>
      </c>
      <c r="M739" s="4">
        <v>0.45</v>
      </c>
      <c r="N739" s="4">
        <v>0.5</v>
      </c>
    </row>
    <row r="740" spans="1:14" x14ac:dyDescent="0.4">
      <c r="A740">
        <v>739</v>
      </c>
      <c r="B740">
        <v>2013</v>
      </c>
      <c r="C740" t="s">
        <v>2058</v>
      </c>
      <c r="D740" t="str">
        <f>HYPERLINK("https://ota.tournamentsoftware.com/player-profile/D861FE8B-CCB2-4222-BA9C-EBD5C1FECE32", "Link")</f>
        <v>Link</v>
      </c>
      <c r="E740" s="2">
        <v>95.094999999999999</v>
      </c>
      <c r="F740" s="3">
        <v>16</v>
      </c>
      <c r="G740" t="s">
        <v>20</v>
      </c>
      <c r="H740" t="s">
        <v>919</v>
      </c>
      <c r="I740" t="s">
        <v>48</v>
      </c>
      <c r="J740" s="3">
        <v>117</v>
      </c>
      <c r="K740" t="s">
        <v>2059</v>
      </c>
      <c r="L740" t="s">
        <v>2060</v>
      </c>
      <c r="M740" s="4">
        <v>0.28999999999999998</v>
      </c>
      <c r="N740" s="4">
        <v>0.09</v>
      </c>
    </row>
    <row r="741" spans="1:14" x14ac:dyDescent="0.4">
      <c r="A741">
        <v>740</v>
      </c>
      <c r="B741">
        <v>2015</v>
      </c>
      <c r="C741" t="s">
        <v>2061</v>
      </c>
      <c r="D741" t="str">
        <f>HYPERLINK("https://ota.tournamentsoftware.com/player-profile/C178309B-9B10-4C79-99B5-DD8E37FCC1EF", "Link")</f>
        <v>Link</v>
      </c>
      <c r="E741" s="2">
        <v>94.802000000000007</v>
      </c>
      <c r="F741" s="3">
        <v>23</v>
      </c>
      <c r="G741" t="s">
        <v>20</v>
      </c>
      <c r="H741" t="s">
        <v>260</v>
      </c>
      <c r="I741">
        <v>36.4</v>
      </c>
      <c r="J741" s="3">
        <v>138</v>
      </c>
      <c r="K741" t="s">
        <v>2062</v>
      </c>
      <c r="L741" t="s">
        <v>1745</v>
      </c>
      <c r="M741" s="4">
        <v>0.43</v>
      </c>
      <c r="N741" s="4">
        <v>0.38</v>
      </c>
    </row>
    <row r="742" spans="1:14" x14ac:dyDescent="0.4">
      <c r="A742">
        <v>741</v>
      </c>
      <c r="B742">
        <v>2012</v>
      </c>
      <c r="C742" t="s">
        <v>2063</v>
      </c>
      <c r="D742" t="str">
        <f>HYPERLINK("https://ota.tournamentsoftware.com/player-profile/A0474BDB-A63B-423A-90FB-FAAA726E2052", "Link")</f>
        <v>Link</v>
      </c>
      <c r="E742" s="2">
        <v>94.728999999999999</v>
      </c>
      <c r="F742" s="3">
        <v>6</v>
      </c>
      <c r="G742" t="s">
        <v>29</v>
      </c>
      <c r="H742" t="s">
        <v>2064</v>
      </c>
      <c r="I742">
        <v>36.4</v>
      </c>
      <c r="J742" s="3">
        <v>52</v>
      </c>
      <c r="K742" t="s">
        <v>2065</v>
      </c>
      <c r="L742" t="s">
        <v>932</v>
      </c>
      <c r="M742" s="4">
        <v>0.27</v>
      </c>
      <c r="N742" s="4">
        <v>0.3</v>
      </c>
    </row>
    <row r="743" spans="1:14" x14ac:dyDescent="0.4">
      <c r="A743">
        <v>742</v>
      </c>
      <c r="B743">
        <v>2012</v>
      </c>
      <c r="C743" t="s">
        <v>2066</v>
      </c>
      <c r="D743" t="str">
        <f>HYPERLINK("https://ota.tournamentsoftware.com/player-profile/85FC5E76-6ACD-4520-94D0-C05BABDC2184", "Link")</f>
        <v>Link</v>
      </c>
      <c r="E743" s="2">
        <v>94.176000000000002</v>
      </c>
      <c r="F743" s="3">
        <v>12</v>
      </c>
      <c r="G743" t="s">
        <v>29</v>
      </c>
      <c r="H743" t="s">
        <v>1771</v>
      </c>
      <c r="I743">
        <v>36.700000000000003</v>
      </c>
      <c r="J743" s="3">
        <v>49</v>
      </c>
      <c r="K743" t="s">
        <v>2067</v>
      </c>
      <c r="L743" t="s">
        <v>622</v>
      </c>
      <c r="M743" s="4">
        <v>0.43</v>
      </c>
      <c r="N743" s="4">
        <v>0.33</v>
      </c>
    </row>
    <row r="744" spans="1:14" x14ac:dyDescent="0.4">
      <c r="A744">
        <v>743</v>
      </c>
      <c r="B744">
        <v>2011</v>
      </c>
      <c r="C744" t="s">
        <v>2068</v>
      </c>
      <c r="D744" t="str">
        <f>HYPERLINK("https://ota.tournamentsoftware.com/player-profile/3F4279EF-35BA-4DE5-A66D-639273DC689E", "Link")</f>
        <v>Link</v>
      </c>
      <c r="E744" s="2">
        <v>93.96</v>
      </c>
      <c r="F744" s="3">
        <v>4</v>
      </c>
      <c r="G744" t="s">
        <v>29</v>
      </c>
      <c r="H744" t="s">
        <v>1078</v>
      </c>
      <c r="I744">
        <v>34.6</v>
      </c>
      <c r="J744" s="3">
        <v>25</v>
      </c>
      <c r="K744" t="s">
        <v>242</v>
      </c>
      <c r="L744" t="s">
        <v>31</v>
      </c>
      <c r="M744" s="4">
        <v>0.6</v>
      </c>
      <c r="N744" s="4">
        <v>0</v>
      </c>
    </row>
    <row r="745" spans="1:14" x14ac:dyDescent="0.4">
      <c r="A745">
        <v>744</v>
      </c>
      <c r="B745">
        <v>2013</v>
      </c>
      <c r="C745" t="s">
        <v>2069</v>
      </c>
      <c r="D745" t="str">
        <f>HYPERLINK("https://ota.tournamentsoftware.com/player-profile/2BE09915-8A78-4187-839F-E3A10E233213", "Link")</f>
        <v>Link</v>
      </c>
      <c r="E745" s="2">
        <v>93.646000000000001</v>
      </c>
      <c r="F745" s="3">
        <v>7</v>
      </c>
      <c r="G745" t="s">
        <v>25</v>
      </c>
      <c r="H745" t="s">
        <v>85</v>
      </c>
      <c r="I745">
        <v>35.9</v>
      </c>
      <c r="J745" s="3">
        <v>38</v>
      </c>
      <c r="K745" t="s">
        <v>2070</v>
      </c>
      <c r="L745" t="s">
        <v>68</v>
      </c>
      <c r="M745" s="4">
        <v>0.37</v>
      </c>
      <c r="N745" s="4">
        <v>0.57999999999999996</v>
      </c>
    </row>
    <row r="746" spans="1:14" x14ac:dyDescent="0.4">
      <c r="A746">
        <v>745</v>
      </c>
      <c r="B746">
        <v>2014</v>
      </c>
      <c r="C746" t="s">
        <v>2071</v>
      </c>
      <c r="D746" t="str">
        <f>HYPERLINK("https://ota.tournamentsoftware.com/player-profile/E075895A-C22F-4FDB-9A95-CCD353169906", "Link")</f>
        <v>Link</v>
      </c>
      <c r="E746" s="2">
        <v>93.632000000000005</v>
      </c>
      <c r="F746" s="3">
        <v>7</v>
      </c>
      <c r="G746" t="s">
        <v>29</v>
      </c>
      <c r="H746" t="s">
        <v>2072</v>
      </c>
      <c r="I746">
        <v>33.9</v>
      </c>
      <c r="J746" s="3">
        <v>200</v>
      </c>
      <c r="K746" t="s">
        <v>2073</v>
      </c>
      <c r="L746" t="s">
        <v>2074</v>
      </c>
      <c r="M746" s="4">
        <v>0.56000000000000005</v>
      </c>
      <c r="N746" s="4">
        <v>0.83</v>
      </c>
    </row>
    <row r="747" spans="1:14" x14ac:dyDescent="0.4">
      <c r="A747">
        <v>746</v>
      </c>
      <c r="B747">
        <v>2012</v>
      </c>
      <c r="C747" t="s">
        <v>2075</v>
      </c>
      <c r="D747" t="str">
        <f>HYPERLINK("https://ota.tournamentsoftware.com/player-profile/BC31A25D-C48C-47FD-A0A3-D600EA315675", "Link")</f>
        <v>Link</v>
      </c>
      <c r="E747" s="2">
        <v>93.628</v>
      </c>
      <c r="F747" s="3">
        <v>10</v>
      </c>
      <c r="G747" t="s">
        <v>29</v>
      </c>
      <c r="H747" t="s">
        <v>2076</v>
      </c>
      <c r="I747">
        <v>39.4</v>
      </c>
      <c r="J747" s="3">
        <v>40</v>
      </c>
      <c r="K747" t="s">
        <v>2077</v>
      </c>
      <c r="L747" t="s">
        <v>1346</v>
      </c>
      <c r="M747" s="4">
        <v>0.2</v>
      </c>
      <c r="N747" s="4">
        <v>0.22</v>
      </c>
    </row>
    <row r="748" spans="1:14" x14ac:dyDescent="0.4">
      <c r="A748">
        <v>747</v>
      </c>
      <c r="B748">
        <v>2011</v>
      </c>
      <c r="C748" t="s">
        <v>2078</v>
      </c>
      <c r="D748" t="str">
        <f>HYPERLINK("https://ota.tournamentsoftware.com/player-profile/E6FDD1F4-A6DF-447C-918D-4D599F4AFAD2", "Link")</f>
        <v>Link</v>
      </c>
      <c r="E748" s="2">
        <v>93.513999999999996</v>
      </c>
      <c r="F748" s="3">
        <v>3</v>
      </c>
      <c r="G748" t="s">
        <v>29</v>
      </c>
      <c r="H748" t="s">
        <v>1784</v>
      </c>
      <c r="I748">
        <v>38</v>
      </c>
      <c r="J748" s="3">
        <v>42</v>
      </c>
      <c r="K748" t="s">
        <v>2079</v>
      </c>
      <c r="L748" t="s">
        <v>892</v>
      </c>
      <c r="M748" s="4">
        <v>0.36</v>
      </c>
      <c r="N748" s="4">
        <v>0.5</v>
      </c>
    </row>
    <row r="749" spans="1:14" x14ac:dyDescent="0.4">
      <c r="A749">
        <v>748</v>
      </c>
      <c r="B749">
        <v>2016</v>
      </c>
      <c r="C749" t="s">
        <v>2080</v>
      </c>
      <c r="D749" t="str">
        <f>HYPERLINK("https://ota.tournamentsoftware.com/player-profile/9F8A5A74-B5B7-41F1-A513-DA87D68CAFFE", "Link")</f>
        <v>Link</v>
      </c>
      <c r="E749" s="2">
        <v>93.203000000000003</v>
      </c>
      <c r="F749" s="3">
        <v>30</v>
      </c>
      <c r="G749" t="s">
        <v>20</v>
      </c>
      <c r="H749" t="s">
        <v>2081</v>
      </c>
      <c r="I749" t="s">
        <v>48</v>
      </c>
      <c r="J749" s="3">
        <v>159</v>
      </c>
      <c r="K749" t="s">
        <v>2082</v>
      </c>
      <c r="L749" t="s">
        <v>2083</v>
      </c>
      <c r="M749" s="4">
        <v>0.55000000000000004</v>
      </c>
      <c r="N749" s="4">
        <v>0.6</v>
      </c>
    </row>
    <row r="750" spans="1:14" x14ac:dyDescent="0.4">
      <c r="A750">
        <v>749</v>
      </c>
      <c r="B750">
        <v>2015</v>
      </c>
      <c r="C750" t="s">
        <v>2084</v>
      </c>
      <c r="D750" t="str">
        <f>HYPERLINK("https://ota.tournamentsoftware.com/player-profile/5271198B-7814-4938-9A9E-61E10CC7CCA6", "Link")</f>
        <v>Link</v>
      </c>
      <c r="E750" s="2">
        <v>92.84</v>
      </c>
      <c r="F750" s="3">
        <v>26</v>
      </c>
      <c r="G750" t="s">
        <v>20</v>
      </c>
      <c r="H750" t="s">
        <v>2085</v>
      </c>
      <c r="I750" t="s">
        <v>48</v>
      </c>
      <c r="J750" s="3">
        <v>123</v>
      </c>
      <c r="K750" t="s">
        <v>2086</v>
      </c>
      <c r="L750" t="s">
        <v>2087</v>
      </c>
      <c r="M750" s="4">
        <v>0.59</v>
      </c>
      <c r="N750" s="4">
        <v>0.41</v>
      </c>
    </row>
    <row r="751" spans="1:14" x14ac:dyDescent="0.4">
      <c r="A751">
        <v>750</v>
      </c>
      <c r="B751">
        <v>2014</v>
      </c>
      <c r="C751" t="s">
        <v>2088</v>
      </c>
      <c r="D751" t="str">
        <f>HYPERLINK("https://ota.tournamentsoftware.com/player-profile/EAEB7B00-5E1C-47F6-8FF3-1537E07A8B59", "Link")</f>
        <v>Link</v>
      </c>
      <c r="E751" s="2">
        <v>92.575999999999993</v>
      </c>
      <c r="F751" s="3">
        <v>24</v>
      </c>
      <c r="G751" t="s">
        <v>29</v>
      </c>
      <c r="H751" t="s">
        <v>141</v>
      </c>
      <c r="I751">
        <v>36.9</v>
      </c>
      <c r="J751" s="3">
        <v>37</v>
      </c>
      <c r="K751" t="s">
        <v>2089</v>
      </c>
      <c r="L751" t="s">
        <v>1044</v>
      </c>
      <c r="M751" s="4">
        <v>0.32</v>
      </c>
      <c r="N751" s="4">
        <v>0.31</v>
      </c>
    </row>
    <row r="752" spans="1:14" x14ac:dyDescent="0.4">
      <c r="A752">
        <v>751</v>
      </c>
      <c r="B752">
        <v>2016</v>
      </c>
      <c r="C752" t="s">
        <v>2090</v>
      </c>
      <c r="D752" t="str">
        <f>HYPERLINK("https://ota.tournamentsoftware.com/player-profile/7FBBEC05-D20C-448B-93F1-1F8C6BA80758", "Link")</f>
        <v>Link</v>
      </c>
      <c r="E752" s="2">
        <v>91.933000000000007</v>
      </c>
      <c r="F752" s="3">
        <v>19</v>
      </c>
      <c r="G752" t="s">
        <v>25</v>
      </c>
      <c r="H752" t="s">
        <v>99</v>
      </c>
      <c r="I752">
        <v>36</v>
      </c>
      <c r="J752" s="3">
        <v>175</v>
      </c>
      <c r="K752" t="s">
        <v>2091</v>
      </c>
      <c r="L752" t="s">
        <v>645</v>
      </c>
      <c r="M752" s="4">
        <v>0.48</v>
      </c>
      <c r="N752" s="4">
        <v>0.5</v>
      </c>
    </row>
    <row r="753" spans="1:14" x14ac:dyDescent="0.4">
      <c r="A753">
        <v>752</v>
      </c>
      <c r="B753">
        <v>2015</v>
      </c>
      <c r="C753" t="s">
        <v>2092</v>
      </c>
      <c r="D753" t="str">
        <f>HYPERLINK("https://ota.tournamentsoftware.com/player-profile/32A446CD-0BF6-43CA-BCC5-9AE4AEDFD5BE", "Link")</f>
        <v>Link</v>
      </c>
      <c r="E753" s="2">
        <v>91.819000000000003</v>
      </c>
      <c r="F753" s="3">
        <v>4</v>
      </c>
      <c r="G753" t="s">
        <v>173</v>
      </c>
      <c r="H753" t="s">
        <v>887</v>
      </c>
      <c r="I753">
        <v>36.799999999999997</v>
      </c>
      <c r="J753" s="3">
        <v>22</v>
      </c>
      <c r="K753" t="s">
        <v>2093</v>
      </c>
      <c r="L753" t="s">
        <v>2094</v>
      </c>
      <c r="M753" s="4">
        <v>0.36</v>
      </c>
      <c r="N753" s="4">
        <v>0.23</v>
      </c>
    </row>
    <row r="754" spans="1:14" x14ac:dyDescent="0.4">
      <c r="A754">
        <v>753</v>
      </c>
      <c r="B754">
        <v>2016</v>
      </c>
      <c r="C754" t="s">
        <v>2095</v>
      </c>
      <c r="D754" t="str">
        <f>HYPERLINK("https://ota.tournamentsoftware.com/player-profile/515F94D6-B979-4BBE-98E6-48CFEF4CE395", "Link")</f>
        <v>Link</v>
      </c>
      <c r="E754" s="2">
        <v>91.8</v>
      </c>
      <c r="F754" s="3">
        <v>11</v>
      </c>
      <c r="G754" t="s">
        <v>29</v>
      </c>
      <c r="H754" t="s">
        <v>471</v>
      </c>
      <c r="I754">
        <v>35</v>
      </c>
      <c r="J754" s="3">
        <v>154</v>
      </c>
      <c r="K754" t="s">
        <v>2096</v>
      </c>
      <c r="L754" t="s">
        <v>2097</v>
      </c>
      <c r="M754" s="4">
        <v>0.47</v>
      </c>
      <c r="N754" s="4">
        <v>0.68</v>
      </c>
    </row>
    <row r="755" spans="1:14" x14ac:dyDescent="0.4">
      <c r="A755">
        <v>754</v>
      </c>
      <c r="B755">
        <v>2013</v>
      </c>
      <c r="C755" t="s">
        <v>2098</v>
      </c>
      <c r="D755" t="str">
        <f>HYPERLINK("https://ota.tournamentsoftware.com/player-profile/EE1E4950-6BCE-4CAA-921A-C5201D737DFF", "Link")</f>
        <v>Link</v>
      </c>
      <c r="E755" s="2">
        <v>91.402000000000001</v>
      </c>
      <c r="F755" s="3">
        <v>8</v>
      </c>
      <c r="G755" t="s">
        <v>29</v>
      </c>
      <c r="H755" t="s">
        <v>199</v>
      </c>
      <c r="I755">
        <v>34.9</v>
      </c>
      <c r="J755" s="3">
        <v>87</v>
      </c>
      <c r="K755" t="s">
        <v>2099</v>
      </c>
      <c r="L755" t="s">
        <v>872</v>
      </c>
      <c r="M755" s="4">
        <v>0.3</v>
      </c>
      <c r="N755" s="4">
        <v>0.28999999999999998</v>
      </c>
    </row>
    <row r="756" spans="1:14" x14ac:dyDescent="0.4">
      <c r="A756">
        <v>755</v>
      </c>
      <c r="B756">
        <v>2014</v>
      </c>
      <c r="C756" t="s">
        <v>2100</v>
      </c>
      <c r="D756" t="str">
        <f>HYPERLINK("https://ota.tournamentsoftware.com/player-profile/18AF6D11-FB26-470D-81A9-00DC98F16884", "Link")</f>
        <v>Link</v>
      </c>
      <c r="E756" s="2">
        <v>91.058999999999997</v>
      </c>
      <c r="F756" s="3">
        <v>12</v>
      </c>
      <c r="G756" t="s">
        <v>29</v>
      </c>
      <c r="H756" t="s">
        <v>1689</v>
      </c>
      <c r="I756">
        <v>36.299999999999997</v>
      </c>
      <c r="J756" s="3">
        <v>66</v>
      </c>
      <c r="K756" t="s">
        <v>2101</v>
      </c>
      <c r="L756" t="s">
        <v>1764</v>
      </c>
      <c r="M756" s="4">
        <v>0.39</v>
      </c>
      <c r="N756" s="4">
        <v>0.42</v>
      </c>
    </row>
    <row r="757" spans="1:14" x14ac:dyDescent="0.4">
      <c r="A757">
        <v>756</v>
      </c>
      <c r="B757">
        <v>2014</v>
      </c>
      <c r="C757" t="s">
        <v>2102</v>
      </c>
      <c r="D757" t="str">
        <f>HYPERLINK("https://ota.tournamentsoftware.com/player-profile/8AD3E1E2-82F0-490F-B772-6E9AA24959CC", "Link")</f>
        <v>Link</v>
      </c>
      <c r="E757" s="2">
        <v>90.087999999999994</v>
      </c>
      <c r="F757" s="3">
        <v>10</v>
      </c>
      <c r="G757" t="s">
        <v>25</v>
      </c>
      <c r="H757" t="s">
        <v>26</v>
      </c>
      <c r="I757">
        <v>35.4</v>
      </c>
      <c r="J757" s="3">
        <v>60</v>
      </c>
      <c r="K757" t="s">
        <v>2103</v>
      </c>
      <c r="L757" t="s">
        <v>592</v>
      </c>
      <c r="M757" s="4">
        <v>0.42</v>
      </c>
      <c r="N757" s="4">
        <v>0.54</v>
      </c>
    </row>
    <row r="758" spans="1:14" x14ac:dyDescent="0.4">
      <c r="A758">
        <v>757</v>
      </c>
      <c r="B758">
        <v>2015</v>
      </c>
      <c r="C758" t="s">
        <v>2104</v>
      </c>
      <c r="D758" t="str">
        <f>HYPERLINK("https://ota.tournamentsoftware.com/player-profile/387B3C19-006B-446B-A1CE-226F349C0C24", "Link")</f>
        <v>Link</v>
      </c>
      <c r="E758" s="2">
        <v>89.873999999999995</v>
      </c>
      <c r="F758" s="3">
        <v>11</v>
      </c>
      <c r="G758" t="s">
        <v>29</v>
      </c>
      <c r="H758" t="s">
        <v>1952</v>
      </c>
      <c r="I758">
        <v>37.200000000000003</v>
      </c>
      <c r="J758" s="3">
        <v>55</v>
      </c>
      <c r="K758" t="s">
        <v>2105</v>
      </c>
      <c r="L758" t="s">
        <v>1251</v>
      </c>
      <c r="M758" s="4">
        <v>0.38</v>
      </c>
      <c r="N758" s="4">
        <v>0.35</v>
      </c>
    </row>
    <row r="759" spans="1:14" x14ac:dyDescent="0.4">
      <c r="A759">
        <v>758</v>
      </c>
      <c r="B759">
        <v>2011</v>
      </c>
      <c r="C759" t="s">
        <v>2106</v>
      </c>
      <c r="D759" t="str">
        <f>HYPERLINK("https://ota.tournamentsoftware.com/player-profile/2762928D-1A99-482F-90A1-D37341374965", "Link")</f>
        <v>Link</v>
      </c>
      <c r="E759" s="2">
        <v>87.936999999999998</v>
      </c>
      <c r="F759" s="3">
        <v>3</v>
      </c>
      <c r="G759" t="s">
        <v>20</v>
      </c>
      <c r="H759" t="s">
        <v>2107</v>
      </c>
      <c r="I759">
        <v>33.6</v>
      </c>
      <c r="J759" s="3">
        <v>49</v>
      </c>
      <c r="K759" t="s">
        <v>2108</v>
      </c>
      <c r="L759" t="s">
        <v>1243</v>
      </c>
      <c r="M759" s="4">
        <v>0.39</v>
      </c>
      <c r="N759" s="4">
        <v>0.4</v>
      </c>
    </row>
    <row r="760" spans="1:14" x14ac:dyDescent="0.4">
      <c r="A760">
        <v>759</v>
      </c>
      <c r="B760">
        <v>2015</v>
      </c>
      <c r="C760" t="s">
        <v>2109</v>
      </c>
      <c r="D760" t="str">
        <f>HYPERLINK("https://ota.tournamentsoftware.com/player-profile/D41680BB-0D07-401E-A1E3-7ECB40E4830A", "Link")</f>
        <v>Link</v>
      </c>
      <c r="E760" s="2">
        <v>87.6</v>
      </c>
      <c r="F760" s="3">
        <v>15</v>
      </c>
      <c r="G760" t="s">
        <v>29</v>
      </c>
      <c r="H760" t="s">
        <v>141</v>
      </c>
      <c r="I760">
        <v>34.9</v>
      </c>
      <c r="J760" s="3">
        <v>96</v>
      </c>
      <c r="K760" t="s">
        <v>2110</v>
      </c>
      <c r="L760" t="s">
        <v>2111</v>
      </c>
      <c r="M760" s="4">
        <v>0.56999999999999995</v>
      </c>
      <c r="N760" s="4">
        <v>0.55000000000000004</v>
      </c>
    </row>
    <row r="761" spans="1:14" x14ac:dyDescent="0.4">
      <c r="A761">
        <v>760</v>
      </c>
      <c r="B761">
        <v>2010</v>
      </c>
      <c r="C761" t="s">
        <v>2112</v>
      </c>
      <c r="D761" t="str">
        <f>HYPERLINK("https://ota.tournamentsoftware.com/player-profile/CF19E2A4-A2D1-43F4-83D5-18E6F49FD6D3", "Link")</f>
        <v>Link</v>
      </c>
      <c r="E761" s="2">
        <v>85.751999999999995</v>
      </c>
      <c r="F761" s="3">
        <v>2</v>
      </c>
      <c r="G761" t="s">
        <v>29</v>
      </c>
      <c r="H761" t="s">
        <v>916</v>
      </c>
      <c r="I761">
        <v>33.5</v>
      </c>
      <c r="J761" s="3">
        <v>4</v>
      </c>
      <c r="K761" t="s">
        <v>1240</v>
      </c>
      <c r="L761" t="s">
        <v>31</v>
      </c>
      <c r="M761" s="4">
        <v>0.5</v>
      </c>
      <c r="N761" s="4">
        <v>0</v>
      </c>
    </row>
    <row r="762" spans="1:14" x14ac:dyDescent="0.4">
      <c r="A762">
        <v>761</v>
      </c>
      <c r="B762">
        <v>2015</v>
      </c>
      <c r="C762" t="s">
        <v>2113</v>
      </c>
      <c r="D762" t="str">
        <f>HYPERLINK("https://ota.tournamentsoftware.com/player-profile/F718058C-465B-4AEB-BACA-80FE5B3917B6", "Link")</f>
        <v>Link</v>
      </c>
      <c r="E762" s="2">
        <v>85.590999999999994</v>
      </c>
      <c r="F762" s="3">
        <v>14</v>
      </c>
      <c r="G762" t="s">
        <v>29</v>
      </c>
      <c r="H762" t="s">
        <v>1528</v>
      </c>
      <c r="I762" t="s">
        <v>48</v>
      </c>
      <c r="J762" s="3">
        <v>63</v>
      </c>
      <c r="K762" t="s">
        <v>2114</v>
      </c>
      <c r="L762" t="s">
        <v>475</v>
      </c>
      <c r="M762" s="4">
        <v>0.24</v>
      </c>
      <c r="N762" s="4">
        <v>0.38</v>
      </c>
    </row>
    <row r="763" spans="1:14" x14ac:dyDescent="0.4">
      <c r="A763">
        <v>762</v>
      </c>
      <c r="B763">
        <v>2011</v>
      </c>
      <c r="C763" t="s">
        <v>2115</v>
      </c>
      <c r="D763" t="str">
        <f>HYPERLINK("https://ota.tournamentsoftware.com/player-profile/D48A522E-8AE1-42D4-963D-59B65F9C324F", "Link")</f>
        <v>Link</v>
      </c>
      <c r="E763" s="2">
        <v>84.144999999999996</v>
      </c>
      <c r="F763" s="3">
        <v>7</v>
      </c>
      <c r="G763" t="s">
        <v>25</v>
      </c>
      <c r="H763" t="s">
        <v>26</v>
      </c>
      <c r="I763">
        <v>35.200000000000003</v>
      </c>
      <c r="J763" s="3">
        <v>89</v>
      </c>
      <c r="K763" t="s">
        <v>2116</v>
      </c>
      <c r="L763" t="s">
        <v>999</v>
      </c>
      <c r="M763" s="4">
        <v>0.31</v>
      </c>
      <c r="N763" s="4">
        <v>0.43</v>
      </c>
    </row>
    <row r="764" spans="1:14" x14ac:dyDescent="0.4">
      <c r="A764">
        <v>763</v>
      </c>
      <c r="B764">
        <v>2013</v>
      </c>
      <c r="C764" t="s">
        <v>2117</v>
      </c>
      <c r="D764" t="str">
        <f>HYPERLINK("https://ota.tournamentsoftware.com/player-profile/4EE4E18D-7D9C-41F4-B172-783EBB13EF00", "Link")</f>
        <v>Link</v>
      </c>
      <c r="E764" s="2">
        <v>83.954999999999998</v>
      </c>
      <c r="F764" s="3">
        <v>4</v>
      </c>
      <c r="G764" t="s">
        <v>29</v>
      </c>
      <c r="H764" t="s">
        <v>2118</v>
      </c>
      <c r="I764">
        <v>38</v>
      </c>
      <c r="J764" s="3">
        <v>4</v>
      </c>
      <c r="K764" t="s">
        <v>879</v>
      </c>
      <c r="L764" t="s">
        <v>1721</v>
      </c>
      <c r="M764" s="4">
        <v>0</v>
      </c>
      <c r="N764" s="4">
        <v>0</v>
      </c>
    </row>
    <row r="765" spans="1:14" x14ac:dyDescent="0.4">
      <c r="A765">
        <v>764</v>
      </c>
      <c r="B765">
        <v>2016</v>
      </c>
      <c r="C765" t="s">
        <v>2119</v>
      </c>
      <c r="D765" t="str">
        <f>HYPERLINK("https://ota.tournamentsoftware.com/player-profile/ABFB9C06-ABE9-4B21-BF57-67179CC1CD5D", "Link")</f>
        <v>Link</v>
      </c>
      <c r="E765" s="2">
        <v>83.914000000000001</v>
      </c>
      <c r="F765" s="3">
        <v>14</v>
      </c>
      <c r="G765" t="s">
        <v>25</v>
      </c>
      <c r="H765" t="s">
        <v>431</v>
      </c>
      <c r="I765">
        <v>33.6</v>
      </c>
      <c r="J765" s="3">
        <v>181</v>
      </c>
      <c r="K765" t="s">
        <v>2120</v>
      </c>
      <c r="L765" t="s">
        <v>979</v>
      </c>
      <c r="M765" s="4">
        <v>0.62</v>
      </c>
      <c r="N765" s="4">
        <v>0.54</v>
      </c>
    </row>
    <row r="766" spans="1:14" x14ac:dyDescent="0.4">
      <c r="A766">
        <v>765</v>
      </c>
      <c r="B766">
        <v>2010</v>
      </c>
      <c r="C766" t="s">
        <v>2121</v>
      </c>
      <c r="D766" t="str">
        <f>HYPERLINK("https://ota.tournamentsoftware.com/player-profile/56787187-AF23-4935-B3D5-B5818F3D4064", "Link")</f>
        <v>Link</v>
      </c>
      <c r="E766" s="2">
        <v>83.869</v>
      </c>
      <c r="F766" s="3">
        <v>3</v>
      </c>
      <c r="G766" t="s">
        <v>25</v>
      </c>
      <c r="H766" t="s">
        <v>16</v>
      </c>
      <c r="I766">
        <v>36.700000000000003</v>
      </c>
      <c r="J766" s="3">
        <v>31</v>
      </c>
      <c r="K766" t="s">
        <v>768</v>
      </c>
      <c r="L766" t="s">
        <v>433</v>
      </c>
      <c r="M766" s="4">
        <v>0.39</v>
      </c>
      <c r="N766" s="4">
        <v>0</v>
      </c>
    </row>
    <row r="767" spans="1:14" x14ac:dyDescent="0.4">
      <c r="A767">
        <v>766</v>
      </c>
      <c r="B767">
        <v>2013</v>
      </c>
      <c r="C767" t="s">
        <v>2122</v>
      </c>
      <c r="D767" t="str">
        <f>HYPERLINK("https://ota.tournamentsoftware.com/player-profile/750061EB-6049-44F3-9B6E-4DE9428D7158", "Link")</f>
        <v>Link</v>
      </c>
      <c r="E767" s="2">
        <v>83.591999999999999</v>
      </c>
      <c r="F767" s="3">
        <v>3</v>
      </c>
      <c r="G767" t="s">
        <v>29</v>
      </c>
      <c r="H767" t="s">
        <v>364</v>
      </c>
      <c r="I767">
        <v>39</v>
      </c>
      <c r="J767" s="3">
        <v>12</v>
      </c>
      <c r="K767" t="s">
        <v>1571</v>
      </c>
      <c r="L767" t="s">
        <v>1267</v>
      </c>
      <c r="M767" s="4">
        <v>0.08</v>
      </c>
      <c r="N767" s="4">
        <v>0.25</v>
      </c>
    </row>
    <row r="768" spans="1:14" x14ac:dyDescent="0.4">
      <c r="A768">
        <v>767</v>
      </c>
      <c r="B768">
        <v>2013</v>
      </c>
      <c r="C768" t="s">
        <v>2123</v>
      </c>
      <c r="D768" t="str">
        <f>HYPERLINK("https://ota.tournamentsoftware.com/player-profile/384CD39C-50E9-4DF1-B1AD-85571147C1F9", "Link")</f>
        <v>Link</v>
      </c>
      <c r="E768" s="2">
        <v>83.063999999999993</v>
      </c>
      <c r="F768" s="3">
        <v>8</v>
      </c>
      <c r="G768" t="s">
        <v>29</v>
      </c>
      <c r="H768" t="s">
        <v>2124</v>
      </c>
      <c r="I768" t="s">
        <v>48</v>
      </c>
      <c r="J768" s="3">
        <v>38</v>
      </c>
      <c r="K768" t="s">
        <v>659</v>
      </c>
      <c r="L768" t="s">
        <v>2125</v>
      </c>
      <c r="M768" s="4">
        <v>0.5</v>
      </c>
      <c r="N768" s="4">
        <v>0</v>
      </c>
    </row>
    <row r="769" spans="1:14" x14ac:dyDescent="0.4">
      <c r="A769">
        <v>768</v>
      </c>
      <c r="B769">
        <v>2012</v>
      </c>
      <c r="C769" t="s">
        <v>2126</v>
      </c>
      <c r="D769" t="str">
        <f>HYPERLINK("https://ota.tournamentsoftware.com/player-profile/34FAC6AA-945B-40B3-BDE9-3F8B4198659B", "Link")</f>
        <v>Link</v>
      </c>
      <c r="E769" s="2">
        <v>82.138000000000005</v>
      </c>
      <c r="F769" s="3">
        <v>5</v>
      </c>
      <c r="G769" t="s">
        <v>29</v>
      </c>
      <c r="H769" t="s">
        <v>2127</v>
      </c>
      <c r="I769">
        <v>35.200000000000003</v>
      </c>
      <c r="J769" s="3">
        <v>18</v>
      </c>
      <c r="K769" t="s">
        <v>2128</v>
      </c>
      <c r="L769" t="s">
        <v>2128</v>
      </c>
      <c r="M769" s="4">
        <v>0.61</v>
      </c>
      <c r="N769" s="4">
        <v>0.61</v>
      </c>
    </row>
    <row r="770" spans="1:14" x14ac:dyDescent="0.4">
      <c r="A770">
        <v>769</v>
      </c>
      <c r="B770">
        <v>2013</v>
      </c>
      <c r="C770" t="s">
        <v>2129</v>
      </c>
      <c r="D770" t="str">
        <f>HYPERLINK("https://ota.tournamentsoftware.com/player-profile/68249616-27A6-4807-9978-802C0CDC784E", "Link")</f>
        <v>Link</v>
      </c>
      <c r="E770" s="2">
        <v>82</v>
      </c>
      <c r="F770" s="3">
        <v>5</v>
      </c>
      <c r="G770" t="s">
        <v>29</v>
      </c>
      <c r="H770" t="s">
        <v>2130</v>
      </c>
      <c r="I770">
        <v>29</v>
      </c>
      <c r="J770" s="3">
        <v>12</v>
      </c>
      <c r="K770" t="s">
        <v>1107</v>
      </c>
      <c r="L770" t="s">
        <v>31</v>
      </c>
      <c r="M770" s="4">
        <v>0.67</v>
      </c>
      <c r="N770" s="4">
        <v>0</v>
      </c>
    </row>
    <row r="771" spans="1:14" x14ac:dyDescent="0.4">
      <c r="A771">
        <v>770</v>
      </c>
      <c r="B771">
        <v>2013</v>
      </c>
      <c r="C771" t="s">
        <v>2131</v>
      </c>
      <c r="D771" t="str">
        <f>HYPERLINK("https://ota.tournamentsoftware.com/player-profile/381713CB-202F-43FD-B96F-4B364BE2EE52", "Link")</f>
        <v>Link</v>
      </c>
      <c r="E771" s="2">
        <v>81.572999999999993</v>
      </c>
      <c r="F771" s="3">
        <v>7</v>
      </c>
      <c r="G771" t="s">
        <v>29</v>
      </c>
      <c r="H771" t="s">
        <v>519</v>
      </c>
      <c r="I771">
        <v>37</v>
      </c>
      <c r="J771" s="3">
        <v>69</v>
      </c>
      <c r="K771" t="s">
        <v>2132</v>
      </c>
      <c r="L771" t="s">
        <v>1147</v>
      </c>
      <c r="M771" s="4">
        <v>0.25</v>
      </c>
      <c r="N771" s="4">
        <v>0.36</v>
      </c>
    </row>
    <row r="772" spans="1:14" x14ac:dyDescent="0.4">
      <c r="A772">
        <v>771</v>
      </c>
      <c r="B772">
        <v>2015</v>
      </c>
      <c r="C772" t="s">
        <v>2133</v>
      </c>
      <c r="D772" t="str">
        <f>HYPERLINK("https://ota.tournamentsoftware.com/player-profile/059CF7FD-B4FA-4522-AF55-9B2138153D9C", "Link")</f>
        <v>Link</v>
      </c>
      <c r="E772" s="2">
        <v>81.102999999999994</v>
      </c>
      <c r="F772" s="3">
        <v>9</v>
      </c>
      <c r="G772" t="s">
        <v>109</v>
      </c>
      <c r="H772" t="s">
        <v>281</v>
      </c>
      <c r="I772">
        <v>36.799999999999997</v>
      </c>
      <c r="J772" s="3">
        <v>109</v>
      </c>
      <c r="K772" t="s">
        <v>2134</v>
      </c>
      <c r="L772" t="s">
        <v>717</v>
      </c>
      <c r="M772" s="4">
        <v>0.41</v>
      </c>
      <c r="N772" s="4">
        <v>0.27</v>
      </c>
    </row>
    <row r="773" spans="1:14" x14ac:dyDescent="0.4">
      <c r="A773">
        <v>772</v>
      </c>
      <c r="B773">
        <v>2013</v>
      </c>
      <c r="C773" t="s">
        <v>2135</v>
      </c>
      <c r="D773" t="str">
        <f>HYPERLINK("https://ota.tournamentsoftware.com/player-profile/767AAF86-8D36-4699-8113-86AA6DA60CE4", "Link")</f>
        <v>Link</v>
      </c>
      <c r="E773" s="2">
        <v>80.878</v>
      </c>
      <c r="F773" s="3">
        <v>11</v>
      </c>
      <c r="G773" t="s">
        <v>29</v>
      </c>
      <c r="H773" t="s">
        <v>1068</v>
      </c>
      <c r="I773">
        <v>39.5</v>
      </c>
      <c r="J773" s="3">
        <v>38</v>
      </c>
      <c r="K773" t="s">
        <v>2136</v>
      </c>
      <c r="L773" t="s">
        <v>1706</v>
      </c>
      <c r="M773" s="4">
        <v>0.21</v>
      </c>
      <c r="N773" s="4">
        <v>0</v>
      </c>
    </row>
    <row r="774" spans="1:14" x14ac:dyDescent="0.4">
      <c r="A774">
        <v>773</v>
      </c>
      <c r="B774">
        <v>2016</v>
      </c>
      <c r="C774" t="s">
        <v>2137</v>
      </c>
      <c r="D774" t="str">
        <f>HYPERLINK("https://ota.tournamentsoftware.com/player-profile/00CB777C-F17D-4A37-8393-1F4E5A4F3C39", "Link")</f>
        <v>Link</v>
      </c>
      <c r="E774" s="2">
        <v>80.599999999999994</v>
      </c>
      <c r="F774" s="3">
        <v>9</v>
      </c>
      <c r="G774" t="s">
        <v>20</v>
      </c>
      <c r="H774" t="s">
        <v>43</v>
      </c>
      <c r="I774">
        <v>32.5</v>
      </c>
      <c r="J774" s="3">
        <v>78</v>
      </c>
      <c r="K774" t="s">
        <v>2138</v>
      </c>
      <c r="L774" t="s">
        <v>2139</v>
      </c>
      <c r="M774" s="4">
        <v>0.79</v>
      </c>
      <c r="N774" s="4">
        <v>0.81</v>
      </c>
    </row>
    <row r="775" spans="1:14" x14ac:dyDescent="0.4">
      <c r="A775">
        <v>774</v>
      </c>
      <c r="B775">
        <v>2015</v>
      </c>
      <c r="C775" t="s">
        <v>2140</v>
      </c>
      <c r="D775" t="str">
        <f>HYPERLINK("https://ota.tournamentsoftware.com/player-profile/24478EB2-203F-4DE3-92C9-B16D9A60F77F", "Link")</f>
        <v>Link</v>
      </c>
      <c r="E775" s="2">
        <v>80.436000000000007</v>
      </c>
      <c r="F775" s="3">
        <v>15</v>
      </c>
      <c r="G775" t="s">
        <v>29</v>
      </c>
      <c r="H775" t="s">
        <v>471</v>
      </c>
      <c r="I775">
        <v>37.200000000000003</v>
      </c>
      <c r="J775" s="3">
        <v>80</v>
      </c>
      <c r="K775" t="s">
        <v>2141</v>
      </c>
      <c r="L775" t="s">
        <v>631</v>
      </c>
      <c r="M775" s="4">
        <v>0.41</v>
      </c>
      <c r="N775" s="4">
        <v>0.45</v>
      </c>
    </row>
    <row r="776" spans="1:14" x14ac:dyDescent="0.4">
      <c r="A776">
        <v>775</v>
      </c>
      <c r="B776">
        <v>2015</v>
      </c>
      <c r="C776" t="s">
        <v>2142</v>
      </c>
      <c r="D776" t="str">
        <f>HYPERLINK("https://ota.tournamentsoftware.com/player-profile/3C86C2A1-7881-4E07-A889-C842F4C67652", "Link")</f>
        <v>Link</v>
      </c>
      <c r="E776" s="2">
        <v>79.463999999999999</v>
      </c>
      <c r="F776" s="3">
        <v>5</v>
      </c>
      <c r="G776" t="s">
        <v>25</v>
      </c>
      <c r="H776" t="s">
        <v>240</v>
      </c>
      <c r="I776">
        <v>30.4</v>
      </c>
      <c r="J776" s="3">
        <v>13</v>
      </c>
      <c r="K776" t="s">
        <v>469</v>
      </c>
      <c r="L776" t="s">
        <v>1054</v>
      </c>
      <c r="M776" s="4">
        <v>0.62</v>
      </c>
      <c r="N776" s="4">
        <v>0.73</v>
      </c>
    </row>
    <row r="777" spans="1:14" x14ac:dyDescent="0.4">
      <c r="A777">
        <v>776</v>
      </c>
      <c r="B777">
        <v>2015</v>
      </c>
      <c r="C777" t="s">
        <v>2143</v>
      </c>
      <c r="D777" t="str">
        <f>HYPERLINK("https://ota.tournamentsoftware.com/player-profile/17357D82-FEBE-483D-8054-F1F6B85AD8A5", "Link")</f>
        <v>Link</v>
      </c>
      <c r="E777" s="2">
        <v>79.462999999999994</v>
      </c>
      <c r="F777" s="3">
        <v>12</v>
      </c>
      <c r="G777" t="s">
        <v>29</v>
      </c>
      <c r="H777" t="s">
        <v>2144</v>
      </c>
      <c r="I777">
        <v>37.1</v>
      </c>
      <c r="J777" s="3">
        <v>61</v>
      </c>
      <c r="K777" t="s">
        <v>2145</v>
      </c>
      <c r="L777" t="s">
        <v>932</v>
      </c>
      <c r="M777" s="4">
        <v>0.39</v>
      </c>
      <c r="N777" s="4">
        <v>0.3</v>
      </c>
    </row>
    <row r="778" spans="1:14" x14ac:dyDescent="0.4">
      <c r="A778">
        <v>777</v>
      </c>
      <c r="B778">
        <v>2014</v>
      </c>
      <c r="C778" t="s">
        <v>2146</v>
      </c>
      <c r="D778" t="str">
        <f>HYPERLINK("https://ota.tournamentsoftware.com/player-profile/027DF0F1-69E8-4220-8263-B26C4D1AFC70", "Link")</f>
        <v>Link</v>
      </c>
      <c r="E778" s="2">
        <v>79.406999999999996</v>
      </c>
      <c r="F778" s="3">
        <v>14</v>
      </c>
      <c r="G778" t="s">
        <v>25</v>
      </c>
      <c r="H778" t="s">
        <v>60</v>
      </c>
      <c r="I778" t="s">
        <v>48</v>
      </c>
      <c r="J778" s="3">
        <v>64</v>
      </c>
      <c r="K778" t="s">
        <v>2147</v>
      </c>
      <c r="L778" t="s">
        <v>786</v>
      </c>
      <c r="M778" s="4">
        <v>0.41</v>
      </c>
      <c r="N778" s="4">
        <v>0.5</v>
      </c>
    </row>
    <row r="779" spans="1:14" x14ac:dyDescent="0.4">
      <c r="A779">
        <v>778</v>
      </c>
      <c r="B779">
        <v>2015</v>
      </c>
      <c r="C779" t="s">
        <v>2148</v>
      </c>
      <c r="D779" t="str">
        <f>HYPERLINK("https://ota.tournamentsoftware.com/player-profile/6F3C1A53-8070-482F-B046-BE875C66F4B8", "Link")</f>
        <v>Link</v>
      </c>
      <c r="E779" s="2">
        <v>79.287000000000006</v>
      </c>
      <c r="F779" s="3">
        <v>14</v>
      </c>
      <c r="G779" t="s">
        <v>29</v>
      </c>
      <c r="H779" t="s">
        <v>528</v>
      </c>
      <c r="I779">
        <v>38.5</v>
      </c>
      <c r="J779" s="3">
        <v>60</v>
      </c>
      <c r="K779" t="s">
        <v>2149</v>
      </c>
      <c r="L779" t="s">
        <v>2150</v>
      </c>
      <c r="M779" s="4">
        <v>0.2</v>
      </c>
      <c r="N779" s="4">
        <v>0.18</v>
      </c>
    </row>
    <row r="780" spans="1:14" x14ac:dyDescent="0.4">
      <c r="A780">
        <v>779</v>
      </c>
      <c r="B780">
        <v>2010</v>
      </c>
      <c r="C780" t="s">
        <v>2151</v>
      </c>
      <c r="D780" t="str">
        <f>HYPERLINK("https://ota.tournamentsoftware.com/player-profile/25B132A1-C4CB-40FD-8EF8-27B56748C4C2", "Link")</f>
        <v>Link</v>
      </c>
      <c r="E780" s="2">
        <v>78.933000000000007</v>
      </c>
      <c r="F780" s="3">
        <v>4</v>
      </c>
      <c r="G780" t="s">
        <v>109</v>
      </c>
      <c r="H780" t="s">
        <v>110</v>
      </c>
      <c r="I780">
        <v>32.299999999999997</v>
      </c>
      <c r="J780" s="3">
        <v>223</v>
      </c>
      <c r="K780" t="s">
        <v>2152</v>
      </c>
      <c r="L780" t="s">
        <v>433</v>
      </c>
      <c r="M780" s="4">
        <v>0.37</v>
      </c>
      <c r="N780" s="4">
        <v>0</v>
      </c>
    </row>
    <row r="781" spans="1:14" x14ac:dyDescent="0.4">
      <c r="A781">
        <v>780</v>
      </c>
      <c r="B781">
        <v>2014</v>
      </c>
      <c r="C781" t="s">
        <v>2153</v>
      </c>
      <c r="D781" t="str">
        <f>HYPERLINK("https://ota.tournamentsoftware.com/player-profile/C7A9A9F1-2DF6-42CD-AA71-F15C9BFFA6EB", "Link")</f>
        <v>Link</v>
      </c>
      <c r="E781" s="2">
        <v>78.450999999999993</v>
      </c>
      <c r="F781" s="3">
        <v>16</v>
      </c>
      <c r="G781" t="s">
        <v>20</v>
      </c>
      <c r="H781" t="s">
        <v>43</v>
      </c>
      <c r="I781">
        <v>34.9</v>
      </c>
      <c r="J781" s="3">
        <v>47</v>
      </c>
      <c r="K781" t="s">
        <v>2154</v>
      </c>
      <c r="L781" t="s">
        <v>668</v>
      </c>
      <c r="M781" s="4">
        <v>0.38</v>
      </c>
      <c r="N781" s="4">
        <v>0.47</v>
      </c>
    </row>
    <row r="782" spans="1:14" x14ac:dyDescent="0.4">
      <c r="A782">
        <v>781</v>
      </c>
      <c r="B782">
        <v>2014</v>
      </c>
      <c r="C782" t="s">
        <v>2155</v>
      </c>
      <c r="D782" t="str">
        <f>HYPERLINK("https://ota.tournamentsoftware.com/player-profile/535A9ABE-481C-45C4-9357-B8FD9305232E", "Link")</f>
        <v>Link</v>
      </c>
      <c r="E782" s="2">
        <v>77.561999999999998</v>
      </c>
      <c r="F782" s="3">
        <v>15</v>
      </c>
      <c r="G782" t="s">
        <v>29</v>
      </c>
      <c r="H782" t="s">
        <v>1078</v>
      </c>
      <c r="I782">
        <v>36.5</v>
      </c>
      <c r="J782" s="3">
        <v>111</v>
      </c>
      <c r="K782" t="s">
        <v>2156</v>
      </c>
      <c r="L782" t="s">
        <v>932</v>
      </c>
      <c r="M782" s="4">
        <v>0.33</v>
      </c>
      <c r="N782" s="4">
        <v>0.3</v>
      </c>
    </row>
    <row r="783" spans="1:14" x14ac:dyDescent="0.4">
      <c r="A783">
        <v>782</v>
      </c>
      <c r="B783">
        <v>2014</v>
      </c>
      <c r="C783" t="s">
        <v>2157</v>
      </c>
      <c r="D783" t="str">
        <f>HYPERLINK("https://ota.tournamentsoftware.com/player-profile/85239D79-7080-4052-A527-EE7F087184E4", "Link")</f>
        <v>Link</v>
      </c>
      <c r="E783" s="2">
        <v>76.623000000000005</v>
      </c>
      <c r="F783" s="3">
        <v>6</v>
      </c>
      <c r="G783" t="s">
        <v>173</v>
      </c>
      <c r="H783" t="s">
        <v>174</v>
      </c>
      <c r="I783">
        <v>38.1</v>
      </c>
      <c r="J783" s="3">
        <v>38</v>
      </c>
      <c r="K783" t="s">
        <v>864</v>
      </c>
      <c r="L783" t="s">
        <v>622</v>
      </c>
      <c r="M783" s="4">
        <v>0.39</v>
      </c>
      <c r="N783" s="4">
        <v>0.33</v>
      </c>
    </row>
    <row r="784" spans="1:14" x14ac:dyDescent="0.4">
      <c r="A784">
        <v>783</v>
      </c>
      <c r="B784">
        <v>2015</v>
      </c>
      <c r="C784" t="s">
        <v>2158</v>
      </c>
      <c r="D784" t="str">
        <f>HYPERLINK("https://ota.tournamentsoftware.com/player-profile/262E56E9-3220-45C2-961D-ACE763C5C345", "Link")</f>
        <v>Link</v>
      </c>
      <c r="E784" s="2">
        <v>74.52</v>
      </c>
      <c r="F784" s="3">
        <v>10</v>
      </c>
      <c r="G784" t="s">
        <v>29</v>
      </c>
      <c r="H784" t="s">
        <v>103</v>
      </c>
      <c r="I784">
        <v>35.799999999999997</v>
      </c>
      <c r="J784" s="3">
        <v>85</v>
      </c>
      <c r="K784" t="s">
        <v>2159</v>
      </c>
      <c r="L784" t="s">
        <v>2160</v>
      </c>
      <c r="M784" s="4">
        <v>0.53</v>
      </c>
      <c r="N784" s="4">
        <v>0.47</v>
      </c>
    </row>
    <row r="785" spans="1:14" x14ac:dyDescent="0.4">
      <c r="A785">
        <v>784</v>
      </c>
      <c r="B785">
        <v>2011</v>
      </c>
      <c r="C785" t="s">
        <v>2161</v>
      </c>
      <c r="D785" t="str">
        <f>HYPERLINK("https://ota.tournamentsoftware.com/player-profile/A110FFB5-9A6A-4709-9768-4A8B3B65FE3D", "Link")</f>
        <v>Link</v>
      </c>
      <c r="E785" s="2">
        <v>74.367000000000004</v>
      </c>
      <c r="F785" s="3">
        <v>2</v>
      </c>
      <c r="G785" t="s">
        <v>29</v>
      </c>
      <c r="H785" t="s">
        <v>2064</v>
      </c>
      <c r="I785">
        <v>37.6</v>
      </c>
      <c r="J785" s="3">
        <v>17</v>
      </c>
      <c r="K785" t="s">
        <v>610</v>
      </c>
      <c r="L785" t="s">
        <v>1267</v>
      </c>
      <c r="M785" s="4">
        <v>0.28999999999999998</v>
      </c>
      <c r="N785" s="4">
        <v>0.25</v>
      </c>
    </row>
    <row r="786" spans="1:14" x14ac:dyDescent="0.4">
      <c r="A786">
        <v>785</v>
      </c>
      <c r="B786">
        <v>2014</v>
      </c>
      <c r="C786" t="s">
        <v>2162</v>
      </c>
      <c r="D786" t="str">
        <f>HYPERLINK("https://ota.tournamentsoftware.com/player-profile/C08AB363-A302-4023-8D6D-B732D837DADF", "Link")</f>
        <v>Link</v>
      </c>
      <c r="E786" s="2">
        <v>74.287999999999997</v>
      </c>
      <c r="F786" s="3">
        <v>4</v>
      </c>
      <c r="G786" t="s">
        <v>29</v>
      </c>
      <c r="H786" t="s">
        <v>16</v>
      </c>
      <c r="I786">
        <v>37.700000000000003</v>
      </c>
      <c r="J786" s="3">
        <v>7</v>
      </c>
      <c r="K786" t="s">
        <v>1303</v>
      </c>
      <c r="L786" t="s">
        <v>1189</v>
      </c>
      <c r="M786" s="4">
        <v>0.14000000000000001</v>
      </c>
      <c r="N786" s="4">
        <v>0.17</v>
      </c>
    </row>
    <row r="787" spans="1:14" x14ac:dyDescent="0.4">
      <c r="A787">
        <v>786</v>
      </c>
      <c r="B787">
        <v>2013</v>
      </c>
      <c r="C787" t="s">
        <v>2163</v>
      </c>
      <c r="D787" t="str">
        <f>HYPERLINK("https://ota.tournamentsoftware.com/player-profile/29822B25-6004-4E31-822F-CF8FF1CD9AB7", "Link")</f>
        <v>Link</v>
      </c>
      <c r="E787" s="2">
        <v>74.183999999999997</v>
      </c>
      <c r="F787" s="3">
        <v>8</v>
      </c>
      <c r="G787" t="s">
        <v>29</v>
      </c>
      <c r="H787" t="s">
        <v>471</v>
      </c>
      <c r="I787">
        <v>36.4</v>
      </c>
      <c r="J787" s="3">
        <v>64</v>
      </c>
      <c r="K787" t="s">
        <v>2164</v>
      </c>
      <c r="L787" t="s">
        <v>38</v>
      </c>
      <c r="M787" s="4">
        <v>0.62</v>
      </c>
      <c r="N787" s="4">
        <v>0.75</v>
      </c>
    </row>
    <row r="788" spans="1:14" x14ac:dyDescent="0.4">
      <c r="A788">
        <v>787</v>
      </c>
      <c r="B788">
        <v>2015</v>
      </c>
      <c r="C788" t="s">
        <v>2165</v>
      </c>
      <c r="D788" t="str">
        <f>HYPERLINK("https://ota.tournamentsoftware.com/player-profile/AFC2100D-E6CB-4B13-AD01-0EBC56083397", "Link")</f>
        <v>Link</v>
      </c>
      <c r="E788" s="2">
        <v>74.08</v>
      </c>
      <c r="F788" s="3">
        <v>8</v>
      </c>
      <c r="G788" t="s">
        <v>29</v>
      </c>
      <c r="H788" t="s">
        <v>2166</v>
      </c>
      <c r="I788" t="s">
        <v>48</v>
      </c>
      <c r="J788" s="3">
        <v>143</v>
      </c>
      <c r="K788" t="s">
        <v>2167</v>
      </c>
      <c r="L788" t="s">
        <v>2168</v>
      </c>
      <c r="M788" s="4">
        <v>0.63</v>
      </c>
      <c r="N788" s="4">
        <v>0.64</v>
      </c>
    </row>
    <row r="789" spans="1:14" x14ac:dyDescent="0.4">
      <c r="A789">
        <v>788</v>
      </c>
      <c r="B789">
        <v>2012</v>
      </c>
      <c r="C789" t="s">
        <v>2169</v>
      </c>
      <c r="D789" t="str">
        <f>HYPERLINK("https://ota.tournamentsoftware.com/player-profile/3CFF2AC0-C5A1-461F-91D3-0CD8EAFC5609", "Link")</f>
        <v>Link</v>
      </c>
      <c r="E789" s="2">
        <v>73.512</v>
      </c>
      <c r="F789" s="3">
        <v>11</v>
      </c>
      <c r="G789" t="s">
        <v>29</v>
      </c>
      <c r="H789" t="s">
        <v>141</v>
      </c>
      <c r="I789">
        <v>39.4</v>
      </c>
      <c r="J789" s="3">
        <v>76</v>
      </c>
      <c r="K789" t="s">
        <v>2170</v>
      </c>
      <c r="L789" t="s">
        <v>1020</v>
      </c>
      <c r="M789" s="4">
        <v>0.05</v>
      </c>
      <c r="N789" s="4">
        <v>0.18</v>
      </c>
    </row>
    <row r="790" spans="1:14" x14ac:dyDescent="0.4">
      <c r="A790">
        <v>789</v>
      </c>
      <c r="B790">
        <v>2017</v>
      </c>
      <c r="C790" t="s">
        <v>2171</v>
      </c>
      <c r="D790" t="str">
        <f>HYPERLINK("https://ota.tournamentsoftware.com/player-profile/E5CD94C9-63F9-419B-A6E9-CCB6DEF8B502", "Link")</f>
        <v>Link</v>
      </c>
      <c r="E790" s="2">
        <v>73.2</v>
      </c>
      <c r="F790" s="3">
        <v>21</v>
      </c>
      <c r="G790" t="s">
        <v>25</v>
      </c>
      <c r="H790" t="s">
        <v>26</v>
      </c>
      <c r="I790" t="s">
        <v>48</v>
      </c>
      <c r="J790" s="3">
        <v>120</v>
      </c>
      <c r="K790" t="s">
        <v>2172</v>
      </c>
      <c r="L790" t="s">
        <v>2173</v>
      </c>
      <c r="M790" s="4">
        <v>0.47</v>
      </c>
      <c r="N790" s="4">
        <v>0.53</v>
      </c>
    </row>
    <row r="791" spans="1:14" x14ac:dyDescent="0.4">
      <c r="A791">
        <v>790</v>
      </c>
      <c r="B791">
        <v>2013</v>
      </c>
      <c r="C791" t="s">
        <v>2174</v>
      </c>
      <c r="D791" t="str">
        <f>HYPERLINK("https://ota.tournamentsoftware.com/player-profile/02101E1E-CCDA-437A-A3E7-8CBDBA76F674", "Link")</f>
        <v>Link</v>
      </c>
      <c r="E791" s="2">
        <v>72.959000000000003</v>
      </c>
      <c r="F791" s="3">
        <v>4</v>
      </c>
      <c r="G791" t="s">
        <v>173</v>
      </c>
      <c r="H791" t="s">
        <v>887</v>
      </c>
      <c r="I791">
        <v>35.6</v>
      </c>
      <c r="J791" s="3">
        <v>22</v>
      </c>
      <c r="K791" t="s">
        <v>1468</v>
      </c>
      <c r="L791" t="s">
        <v>1625</v>
      </c>
      <c r="M791" s="4">
        <v>0.59</v>
      </c>
      <c r="N791" s="4">
        <v>0.33</v>
      </c>
    </row>
    <row r="792" spans="1:14" x14ac:dyDescent="0.4">
      <c r="A792">
        <v>791</v>
      </c>
      <c r="B792">
        <v>2010</v>
      </c>
      <c r="C792" t="s">
        <v>2175</v>
      </c>
      <c r="D792" t="str">
        <f>HYPERLINK("https://ota.tournamentsoftware.com/player-profile/06194C29-667F-4D35-87C0-37520AF1BDD4", "Link")</f>
        <v>Link</v>
      </c>
      <c r="E792" s="2">
        <v>71.915000000000006</v>
      </c>
      <c r="F792" s="3">
        <v>2</v>
      </c>
      <c r="G792" t="s">
        <v>29</v>
      </c>
      <c r="H792" t="s">
        <v>91</v>
      </c>
      <c r="I792">
        <v>32.6</v>
      </c>
      <c r="J792" s="3">
        <v>12</v>
      </c>
      <c r="K792" t="s">
        <v>1416</v>
      </c>
      <c r="L792" t="s">
        <v>31</v>
      </c>
      <c r="M792" s="4">
        <v>0.42</v>
      </c>
      <c r="N792" s="4">
        <v>0</v>
      </c>
    </row>
    <row r="793" spans="1:14" x14ac:dyDescent="0.4">
      <c r="A793">
        <v>792</v>
      </c>
      <c r="B793">
        <v>2011</v>
      </c>
      <c r="C793" t="s">
        <v>2176</v>
      </c>
      <c r="D793" t="str">
        <f>HYPERLINK("https://ota.tournamentsoftware.com/player-profile/1CA13386-DE1D-42DA-9A14-C42EDDD279FA", "Link")</f>
        <v>Link</v>
      </c>
      <c r="E793" s="2">
        <v>71.459000000000003</v>
      </c>
      <c r="F793" s="3">
        <v>4</v>
      </c>
      <c r="G793" t="s">
        <v>25</v>
      </c>
      <c r="H793" t="s">
        <v>60</v>
      </c>
      <c r="I793" t="s">
        <v>48</v>
      </c>
      <c r="J793" s="3">
        <v>11</v>
      </c>
      <c r="K793" t="s">
        <v>1147</v>
      </c>
      <c r="L793" t="s">
        <v>1147</v>
      </c>
      <c r="M793" s="4">
        <v>0.36</v>
      </c>
      <c r="N793" s="4">
        <v>0.36</v>
      </c>
    </row>
    <row r="794" spans="1:14" x14ac:dyDescent="0.4">
      <c r="A794">
        <v>793</v>
      </c>
      <c r="B794">
        <v>2016</v>
      </c>
      <c r="C794" t="s">
        <v>2177</v>
      </c>
      <c r="D794" t="str">
        <f>HYPERLINK("https://ota.tournamentsoftware.com/player-profile/71A1D6E1-33D1-46A0-AF21-F397AE1BA314", "Link")</f>
        <v>Link</v>
      </c>
      <c r="E794" s="2">
        <v>70.415999999999997</v>
      </c>
      <c r="F794" s="3">
        <v>10</v>
      </c>
      <c r="G794" t="s">
        <v>20</v>
      </c>
      <c r="H794" t="s">
        <v>16</v>
      </c>
      <c r="I794">
        <v>38.4</v>
      </c>
      <c r="J794" s="3">
        <v>48</v>
      </c>
      <c r="K794" t="s">
        <v>2178</v>
      </c>
      <c r="L794" t="s">
        <v>2179</v>
      </c>
      <c r="M794" s="4">
        <v>0.33</v>
      </c>
      <c r="N794" s="4">
        <v>0.41</v>
      </c>
    </row>
    <row r="795" spans="1:14" x14ac:dyDescent="0.4">
      <c r="A795">
        <v>794</v>
      </c>
      <c r="B795">
        <v>2010</v>
      </c>
      <c r="C795" t="s">
        <v>2180</v>
      </c>
      <c r="D795" t="str">
        <f>HYPERLINK("https://ota.tournamentsoftware.com/player-profile/76328315-4640-4663-8509-A92B09E3E8FC", "Link")</f>
        <v>Link</v>
      </c>
      <c r="E795" s="2">
        <v>70.313000000000002</v>
      </c>
      <c r="F795" s="3">
        <v>3</v>
      </c>
      <c r="G795" t="s">
        <v>25</v>
      </c>
      <c r="H795" t="s">
        <v>26</v>
      </c>
      <c r="I795" t="s">
        <v>48</v>
      </c>
      <c r="J795" s="3">
        <v>3</v>
      </c>
      <c r="K795" t="s">
        <v>1721</v>
      </c>
      <c r="L795" t="s">
        <v>1721</v>
      </c>
      <c r="M795" s="4">
        <v>0</v>
      </c>
      <c r="N795" s="4">
        <v>0</v>
      </c>
    </row>
    <row r="796" spans="1:14" x14ac:dyDescent="0.4">
      <c r="A796">
        <v>795</v>
      </c>
      <c r="B796">
        <v>2015</v>
      </c>
      <c r="C796" t="s">
        <v>2181</v>
      </c>
      <c r="D796" t="str">
        <f>HYPERLINK("https://ota.tournamentsoftware.com/player-profile/2F4B1A1D-35AC-45A0-9F5D-6D5533376D9A", "Link")</f>
        <v>Link</v>
      </c>
      <c r="E796" s="2">
        <v>70.126000000000005</v>
      </c>
      <c r="F796" s="3">
        <v>7</v>
      </c>
      <c r="G796" t="s">
        <v>29</v>
      </c>
      <c r="H796" t="s">
        <v>2182</v>
      </c>
      <c r="I796">
        <v>38</v>
      </c>
      <c r="J796" s="3">
        <v>83</v>
      </c>
      <c r="K796" t="s">
        <v>2183</v>
      </c>
      <c r="L796" t="s">
        <v>1303</v>
      </c>
      <c r="M796" s="4">
        <v>0.41</v>
      </c>
      <c r="N796" s="4">
        <v>0.14000000000000001</v>
      </c>
    </row>
    <row r="797" spans="1:14" x14ac:dyDescent="0.4">
      <c r="A797">
        <v>796</v>
      </c>
      <c r="B797">
        <v>2013</v>
      </c>
      <c r="C797" t="s">
        <v>2184</v>
      </c>
      <c r="D797" t="str">
        <f>HYPERLINK("https://ota.tournamentsoftware.com/player-profile/95E8FC8D-AC41-4C9F-8192-23788254309B", "Link")</f>
        <v>Link</v>
      </c>
      <c r="E797" s="2">
        <v>70.090999999999994</v>
      </c>
      <c r="F797" s="3">
        <v>4</v>
      </c>
      <c r="G797" t="s">
        <v>29</v>
      </c>
      <c r="H797" t="s">
        <v>2185</v>
      </c>
      <c r="I797">
        <v>32.799999999999997</v>
      </c>
      <c r="J797" s="3">
        <v>167</v>
      </c>
      <c r="K797" t="s">
        <v>2186</v>
      </c>
      <c r="L797" t="s">
        <v>31</v>
      </c>
      <c r="M797" s="4">
        <v>0.56999999999999995</v>
      </c>
      <c r="N797" s="4">
        <v>0</v>
      </c>
    </row>
    <row r="798" spans="1:14" x14ac:dyDescent="0.4">
      <c r="A798">
        <v>797</v>
      </c>
      <c r="B798">
        <v>2013</v>
      </c>
      <c r="C798" t="s">
        <v>2187</v>
      </c>
      <c r="D798" t="str">
        <f>HYPERLINK("https://ota.tournamentsoftware.com/player-profile/AD6D5BEF-6293-4DE8-BF13-52E1A33EF28B", "Link")</f>
        <v>Link</v>
      </c>
      <c r="E798" s="2">
        <v>69.855000000000004</v>
      </c>
      <c r="F798" s="3">
        <v>5</v>
      </c>
      <c r="G798" t="s">
        <v>497</v>
      </c>
      <c r="H798" t="s">
        <v>2188</v>
      </c>
      <c r="I798" t="s">
        <v>48</v>
      </c>
      <c r="J798" s="3">
        <v>23</v>
      </c>
      <c r="K798" t="s">
        <v>1487</v>
      </c>
      <c r="L798" t="s">
        <v>879</v>
      </c>
      <c r="M798" s="4">
        <v>0.3</v>
      </c>
      <c r="N798" s="4">
        <v>0</v>
      </c>
    </row>
    <row r="799" spans="1:14" x14ac:dyDescent="0.4">
      <c r="A799">
        <v>798</v>
      </c>
      <c r="B799">
        <v>2013</v>
      </c>
      <c r="C799" t="s">
        <v>2189</v>
      </c>
      <c r="D799" t="str">
        <f>HYPERLINK("https://ota.tournamentsoftware.com/player-profile/E4A52F0A-7400-4236-ACEF-6680D7FB1262", "Link")</f>
        <v>Link</v>
      </c>
      <c r="E799" s="2">
        <v>69.61</v>
      </c>
      <c r="F799" s="3">
        <v>3</v>
      </c>
      <c r="G799" t="s">
        <v>25</v>
      </c>
      <c r="H799" t="s">
        <v>60</v>
      </c>
      <c r="I799" t="s">
        <v>48</v>
      </c>
      <c r="J799" s="3">
        <v>10</v>
      </c>
      <c r="K799" t="s">
        <v>1775</v>
      </c>
      <c r="L799" t="s">
        <v>1775</v>
      </c>
      <c r="M799" s="4">
        <v>0.5</v>
      </c>
      <c r="N799" s="4">
        <v>0.5</v>
      </c>
    </row>
    <row r="800" spans="1:14" x14ac:dyDescent="0.4">
      <c r="A800">
        <v>799</v>
      </c>
      <c r="B800">
        <v>2012</v>
      </c>
      <c r="C800" t="s">
        <v>2190</v>
      </c>
      <c r="D800" t="str">
        <f>HYPERLINK("https://ota.tournamentsoftware.com/player-profile/23727B96-731B-4DBB-9789-81399E2B9950", "Link")</f>
        <v>Link</v>
      </c>
      <c r="E800" s="2">
        <v>69.48</v>
      </c>
      <c r="F800" s="3">
        <v>2</v>
      </c>
      <c r="G800" t="s">
        <v>29</v>
      </c>
      <c r="H800" t="s">
        <v>16</v>
      </c>
      <c r="I800">
        <v>28.9</v>
      </c>
      <c r="J800" s="3">
        <v>301</v>
      </c>
      <c r="K800" t="s">
        <v>2191</v>
      </c>
      <c r="L800" t="s">
        <v>31</v>
      </c>
      <c r="M800" s="4">
        <v>0.59</v>
      </c>
      <c r="N800" s="4">
        <v>0</v>
      </c>
    </row>
    <row r="801" spans="1:14" x14ac:dyDescent="0.4">
      <c r="A801">
        <v>800</v>
      </c>
      <c r="B801">
        <v>2015</v>
      </c>
      <c r="C801" t="s">
        <v>2192</v>
      </c>
      <c r="D801" t="str">
        <f>HYPERLINK("https://ota.tournamentsoftware.com/player-profile/52A288CA-2524-4398-A498-9546CE531A78", "Link")</f>
        <v>Link</v>
      </c>
      <c r="E801" s="2">
        <v>69.436000000000007</v>
      </c>
      <c r="F801" s="3">
        <v>8</v>
      </c>
      <c r="G801" t="s">
        <v>29</v>
      </c>
      <c r="H801" t="s">
        <v>2193</v>
      </c>
      <c r="I801">
        <v>39.799999999999997</v>
      </c>
      <c r="J801" s="3">
        <v>13</v>
      </c>
      <c r="K801" t="s">
        <v>2194</v>
      </c>
      <c r="L801" t="s">
        <v>2195</v>
      </c>
      <c r="M801" s="4">
        <v>0</v>
      </c>
      <c r="N801" s="4">
        <v>0</v>
      </c>
    </row>
    <row r="802" spans="1:14" x14ac:dyDescent="0.4">
      <c r="A802">
        <v>801</v>
      </c>
      <c r="B802">
        <v>2015</v>
      </c>
      <c r="C802" t="s">
        <v>2196</v>
      </c>
      <c r="D802" t="str">
        <f>HYPERLINK("https://ota.tournamentsoftware.com/player-profile/91D4EC27-5C11-4119-B45C-F3809BFF1CF1", "Link")</f>
        <v>Link</v>
      </c>
      <c r="E802" s="2">
        <v>69.212999999999994</v>
      </c>
      <c r="F802" s="3">
        <v>17</v>
      </c>
      <c r="G802" t="s">
        <v>109</v>
      </c>
      <c r="H802" t="s">
        <v>110</v>
      </c>
      <c r="I802">
        <v>34.6</v>
      </c>
      <c r="J802" s="3">
        <v>135</v>
      </c>
      <c r="K802" t="s">
        <v>2197</v>
      </c>
      <c r="L802" t="s">
        <v>313</v>
      </c>
      <c r="M802" s="4">
        <v>0.52</v>
      </c>
      <c r="N802" s="4">
        <v>0.48</v>
      </c>
    </row>
    <row r="803" spans="1:14" x14ac:dyDescent="0.4">
      <c r="A803">
        <v>802</v>
      </c>
      <c r="B803">
        <v>2011</v>
      </c>
      <c r="C803" t="s">
        <v>2198</v>
      </c>
      <c r="D803" t="str">
        <f>HYPERLINK("https://ota.tournamentsoftware.com/player-profile/F9C51D06-3659-478B-B807-8FC7B234F1BB", "Link")</f>
        <v>Link</v>
      </c>
      <c r="E803" s="2">
        <v>68.888999999999996</v>
      </c>
      <c r="F803" s="3">
        <v>3</v>
      </c>
      <c r="G803" t="s">
        <v>29</v>
      </c>
      <c r="H803" t="s">
        <v>141</v>
      </c>
      <c r="I803">
        <v>35.6</v>
      </c>
      <c r="J803" s="3">
        <v>12</v>
      </c>
      <c r="K803" t="s">
        <v>1107</v>
      </c>
      <c r="L803" t="s">
        <v>1107</v>
      </c>
      <c r="M803" s="4">
        <v>0.67</v>
      </c>
      <c r="N803" s="4">
        <v>0.67</v>
      </c>
    </row>
    <row r="804" spans="1:14" x14ac:dyDescent="0.4">
      <c r="A804">
        <v>803</v>
      </c>
      <c r="B804">
        <v>2014</v>
      </c>
      <c r="C804" t="s">
        <v>2199</v>
      </c>
      <c r="D804" t="str">
        <f>HYPERLINK("https://ota.tournamentsoftware.com/player-profile/8337D953-FBB9-45F2-B72A-FF18B572FA6A", "Link")</f>
        <v>Link</v>
      </c>
      <c r="E804" s="2">
        <v>68.805999999999997</v>
      </c>
      <c r="F804" s="3">
        <v>9</v>
      </c>
      <c r="G804" t="s">
        <v>109</v>
      </c>
      <c r="H804" t="s">
        <v>387</v>
      </c>
      <c r="I804">
        <v>36.5</v>
      </c>
      <c r="J804" s="3">
        <v>21</v>
      </c>
      <c r="K804" t="s">
        <v>517</v>
      </c>
      <c r="L804" t="s">
        <v>1895</v>
      </c>
      <c r="M804" s="4">
        <v>0.38</v>
      </c>
      <c r="N804" s="4">
        <v>0.4</v>
      </c>
    </row>
    <row r="805" spans="1:14" x14ac:dyDescent="0.4">
      <c r="A805">
        <v>804</v>
      </c>
      <c r="B805">
        <v>2014</v>
      </c>
      <c r="C805" t="s">
        <v>2200</v>
      </c>
      <c r="D805" t="str">
        <f>HYPERLINK("https://ota.tournamentsoftware.com/player-profile/25655CF4-99DC-4E1E-BE40-C11FF6785117", "Link")</f>
        <v>Link</v>
      </c>
      <c r="E805" s="2">
        <v>68.715000000000003</v>
      </c>
      <c r="F805" s="3">
        <v>8</v>
      </c>
      <c r="G805" t="s">
        <v>109</v>
      </c>
      <c r="H805" t="s">
        <v>387</v>
      </c>
      <c r="I805">
        <v>34.200000000000003</v>
      </c>
      <c r="J805" s="3">
        <v>57</v>
      </c>
      <c r="K805" t="s">
        <v>2201</v>
      </c>
      <c r="L805" t="s">
        <v>1455</v>
      </c>
      <c r="M805" s="4">
        <v>0.33</v>
      </c>
      <c r="N805" s="4">
        <v>0.37</v>
      </c>
    </row>
    <row r="806" spans="1:14" x14ac:dyDescent="0.4">
      <c r="A806">
        <v>805</v>
      </c>
      <c r="B806">
        <v>2010</v>
      </c>
      <c r="C806" t="s">
        <v>2202</v>
      </c>
      <c r="D806" t="str">
        <f>HYPERLINK("https://ota.tournamentsoftware.com/player-profile/D6B1B21E-E0AF-43D9-BF12-D7CB28E0F140", "Link")</f>
        <v>Link</v>
      </c>
      <c r="E806" s="2">
        <v>68.688000000000002</v>
      </c>
      <c r="F806" s="3">
        <v>2</v>
      </c>
      <c r="G806" t="s">
        <v>29</v>
      </c>
      <c r="H806" t="s">
        <v>916</v>
      </c>
      <c r="I806">
        <v>35.799999999999997</v>
      </c>
      <c r="J806" s="3">
        <v>8</v>
      </c>
      <c r="K806" t="s">
        <v>2195</v>
      </c>
      <c r="L806" t="s">
        <v>1524</v>
      </c>
      <c r="M806" s="4">
        <v>0</v>
      </c>
      <c r="N806" s="4">
        <v>0</v>
      </c>
    </row>
    <row r="807" spans="1:14" x14ac:dyDescent="0.4">
      <c r="A807">
        <v>806</v>
      </c>
      <c r="B807">
        <v>2011</v>
      </c>
      <c r="C807" t="s">
        <v>2203</v>
      </c>
      <c r="D807" t="str">
        <f>HYPERLINK("https://ota.tournamentsoftware.com/player-profile/84056C01-13AC-42BB-9B27-5E768E9D8AFF", "Link")</f>
        <v>Link</v>
      </c>
      <c r="E807" s="2">
        <v>67.933999999999997</v>
      </c>
      <c r="F807" s="3">
        <v>5</v>
      </c>
      <c r="G807" t="s">
        <v>25</v>
      </c>
      <c r="H807" t="s">
        <v>754</v>
      </c>
      <c r="I807">
        <v>36.799999999999997</v>
      </c>
      <c r="J807" s="3">
        <v>27</v>
      </c>
      <c r="K807" t="s">
        <v>1536</v>
      </c>
      <c r="L807" t="s">
        <v>31</v>
      </c>
      <c r="M807" s="4">
        <v>0.44</v>
      </c>
      <c r="N807" s="4">
        <v>0</v>
      </c>
    </row>
    <row r="808" spans="1:14" x14ac:dyDescent="0.4">
      <c r="A808">
        <v>807</v>
      </c>
      <c r="B808">
        <v>2014</v>
      </c>
      <c r="C808" t="s">
        <v>2204</v>
      </c>
      <c r="D808" t="str">
        <f>HYPERLINK("https://ota.tournamentsoftware.com/player-profile/755E1358-E624-498A-A129-DA058D259A1E", "Link")</f>
        <v>Link</v>
      </c>
      <c r="E808" s="2">
        <v>67.884</v>
      </c>
      <c r="F808" s="3">
        <v>12</v>
      </c>
      <c r="G808" t="s">
        <v>20</v>
      </c>
      <c r="H808" t="s">
        <v>16</v>
      </c>
      <c r="I808" t="s">
        <v>48</v>
      </c>
      <c r="J808" s="3">
        <v>108</v>
      </c>
      <c r="K808" t="s">
        <v>2205</v>
      </c>
      <c r="L808" t="s">
        <v>132</v>
      </c>
      <c r="M808" s="4">
        <v>0.34</v>
      </c>
      <c r="N808" s="4">
        <v>0.5</v>
      </c>
    </row>
    <row r="809" spans="1:14" x14ac:dyDescent="0.4">
      <c r="A809">
        <v>808</v>
      </c>
      <c r="B809">
        <v>2014</v>
      </c>
      <c r="C809" t="s">
        <v>2206</v>
      </c>
      <c r="D809" t="str">
        <f>HYPERLINK("https://ota.tournamentsoftware.com/player-profile/44DDF62F-2675-4E36-B215-8515347ABD9E", "Link")</f>
        <v>Link</v>
      </c>
      <c r="E809" s="2">
        <v>67.356999999999999</v>
      </c>
      <c r="F809" s="3">
        <v>13</v>
      </c>
      <c r="G809" t="s">
        <v>25</v>
      </c>
      <c r="H809" t="s">
        <v>60</v>
      </c>
      <c r="I809">
        <v>37.9</v>
      </c>
      <c r="J809" s="3">
        <v>81</v>
      </c>
      <c r="K809" t="s">
        <v>2207</v>
      </c>
      <c r="L809" t="s">
        <v>1211</v>
      </c>
      <c r="M809" s="4">
        <v>0.41</v>
      </c>
      <c r="N809" s="4">
        <v>0.43</v>
      </c>
    </row>
    <row r="810" spans="1:14" x14ac:dyDescent="0.4">
      <c r="A810">
        <v>809</v>
      </c>
      <c r="B810">
        <v>2014</v>
      </c>
      <c r="C810" t="s">
        <v>2208</v>
      </c>
      <c r="D810" t="str">
        <f>HYPERLINK("https://ota.tournamentsoftware.com/player-profile/9F55033D-1DF5-465D-A3A2-401E58DF9FEB", "Link")</f>
        <v>Link</v>
      </c>
      <c r="E810" s="2">
        <v>67.018000000000001</v>
      </c>
      <c r="F810" s="3">
        <v>16</v>
      </c>
      <c r="G810" t="s">
        <v>25</v>
      </c>
      <c r="H810" t="s">
        <v>2209</v>
      </c>
      <c r="I810">
        <v>37.4</v>
      </c>
      <c r="J810" s="3">
        <v>57</v>
      </c>
      <c r="K810" t="s">
        <v>2201</v>
      </c>
      <c r="L810" t="s">
        <v>2210</v>
      </c>
      <c r="M810" s="4">
        <v>0.33</v>
      </c>
      <c r="N810" s="4">
        <v>0.21</v>
      </c>
    </row>
    <row r="811" spans="1:14" x14ac:dyDescent="0.4">
      <c r="A811">
        <v>810</v>
      </c>
      <c r="B811">
        <v>2017</v>
      </c>
      <c r="C811" t="s">
        <v>2211</v>
      </c>
      <c r="D811" t="str">
        <f>HYPERLINK("https://ota.tournamentsoftware.com/player-profile/07E78FFD-E9BB-462A-8A5B-4456E8FEB96D", "Link")</f>
        <v>Link</v>
      </c>
      <c r="E811" s="2">
        <v>66.974000000000004</v>
      </c>
      <c r="F811" s="3">
        <v>11</v>
      </c>
      <c r="G811" t="s">
        <v>29</v>
      </c>
      <c r="H811" t="s">
        <v>679</v>
      </c>
      <c r="I811">
        <v>36.1</v>
      </c>
      <c r="J811" s="3">
        <v>83</v>
      </c>
      <c r="K811" t="s">
        <v>2212</v>
      </c>
      <c r="L811" t="s">
        <v>2213</v>
      </c>
      <c r="M811" s="4">
        <v>0.57999999999999996</v>
      </c>
      <c r="N811" s="4">
        <v>0.45</v>
      </c>
    </row>
    <row r="812" spans="1:14" x14ac:dyDescent="0.4">
      <c r="A812">
        <v>811</v>
      </c>
      <c r="B812">
        <v>2012</v>
      </c>
      <c r="C812" t="s">
        <v>2214</v>
      </c>
      <c r="D812" t="str">
        <f>HYPERLINK("https://ota.tournamentsoftware.com/player-profile/9CF1A8A4-6BA5-46C8-92F4-3E802A738811", "Link")</f>
        <v>Link</v>
      </c>
      <c r="E812" s="2">
        <v>66.799000000000007</v>
      </c>
      <c r="F812" s="3">
        <v>6</v>
      </c>
      <c r="G812" t="s">
        <v>20</v>
      </c>
      <c r="H812" t="s">
        <v>2215</v>
      </c>
      <c r="I812">
        <v>35.4</v>
      </c>
      <c r="J812" s="3">
        <v>62</v>
      </c>
      <c r="K812" t="s">
        <v>2216</v>
      </c>
      <c r="L812" t="s">
        <v>1120</v>
      </c>
      <c r="M812" s="4">
        <v>0.55000000000000004</v>
      </c>
      <c r="N812" s="4">
        <v>0.4</v>
      </c>
    </row>
    <row r="813" spans="1:14" x14ac:dyDescent="0.4">
      <c r="A813">
        <v>812</v>
      </c>
      <c r="B813">
        <v>2016</v>
      </c>
      <c r="C813" t="s">
        <v>2217</v>
      </c>
      <c r="D813" t="str">
        <f>HYPERLINK("https://ota.tournamentsoftware.com/player-profile/A6A0EB19-7DDD-4B25-B81C-FCA911081AB5", "Link")</f>
        <v>Link</v>
      </c>
      <c r="E813" s="2">
        <v>66.552000000000007</v>
      </c>
      <c r="F813" s="3">
        <v>16</v>
      </c>
      <c r="G813" t="s">
        <v>20</v>
      </c>
      <c r="H813" t="s">
        <v>16</v>
      </c>
      <c r="I813">
        <v>36.200000000000003</v>
      </c>
      <c r="J813" s="3">
        <v>103</v>
      </c>
      <c r="K813" t="s">
        <v>2218</v>
      </c>
      <c r="L813" t="s">
        <v>2219</v>
      </c>
      <c r="M813" s="4">
        <v>0.4</v>
      </c>
      <c r="N813" s="4">
        <v>0.42</v>
      </c>
    </row>
    <row r="814" spans="1:14" x14ac:dyDescent="0.4">
      <c r="A814">
        <v>813</v>
      </c>
      <c r="B814">
        <v>2015</v>
      </c>
      <c r="C814" t="s">
        <v>2220</v>
      </c>
      <c r="D814" t="str">
        <f>HYPERLINK("https://ota.tournamentsoftware.com/player-profile/2F36BC35-A108-44F9-B705-6F2246749033", "Link")</f>
        <v>Link</v>
      </c>
      <c r="E814" s="2">
        <v>66.290000000000006</v>
      </c>
      <c r="F814" s="3">
        <v>9</v>
      </c>
      <c r="G814" t="s">
        <v>109</v>
      </c>
      <c r="H814" t="s">
        <v>387</v>
      </c>
      <c r="I814" t="s">
        <v>48</v>
      </c>
      <c r="J814" s="3">
        <v>65</v>
      </c>
      <c r="K814" t="s">
        <v>2221</v>
      </c>
      <c r="L814" t="s">
        <v>2222</v>
      </c>
      <c r="M814" s="4">
        <v>0.56999999999999995</v>
      </c>
      <c r="N814" s="4">
        <v>0.62</v>
      </c>
    </row>
    <row r="815" spans="1:14" x14ac:dyDescent="0.4">
      <c r="A815">
        <v>814</v>
      </c>
      <c r="B815">
        <v>2014</v>
      </c>
      <c r="C815" t="s">
        <v>2223</v>
      </c>
      <c r="D815" t="str">
        <f>HYPERLINK("https://ota.tournamentsoftware.com/player-profile/07D185FB-AE5B-444B-BAE8-058B536108E2", "Link")</f>
        <v>Link</v>
      </c>
      <c r="E815" s="2">
        <v>66.224999999999994</v>
      </c>
      <c r="F815" s="3">
        <v>12</v>
      </c>
      <c r="G815" t="s">
        <v>20</v>
      </c>
      <c r="H815" t="s">
        <v>16</v>
      </c>
      <c r="I815">
        <v>35.700000000000003</v>
      </c>
      <c r="J815" s="3">
        <v>197</v>
      </c>
      <c r="K815" t="s">
        <v>2224</v>
      </c>
      <c r="L815" t="s">
        <v>1788</v>
      </c>
      <c r="M815" s="4">
        <v>0.38</v>
      </c>
      <c r="N815" s="4">
        <v>0.33</v>
      </c>
    </row>
    <row r="816" spans="1:14" x14ac:dyDescent="0.4">
      <c r="A816">
        <v>815</v>
      </c>
      <c r="B816">
        <v>2010</v>
      </c>
      <c r="C816" t="s">
        <v>2225</v>
      </c>
      <c r="D816" t="str">
        <f>HYPERLINK("https://ota.tournamentsoftware.com/player-profile/0174DCFF-EE88-48F7-B6C7-4174780B291B", "Link")</f>
        <v>Link</v>
      </c>
      <c r="E816" s="2">
        <v>66.117999999999995</v>
      </c>
      <c r="F816" s="3">
        <v>3</v>
      </c>
      <c r="G816" t="s">
        <v>29</v>
      </c>
      <c r="H816" t="s">
        <v>199</v>
      </c>
      <c r="I816">
        <v>36.700000000000003</v>
      </c>
      <c r="J816" s="3">
        <v>3</v>
      </c>
      <c r="K816" t="s">
        <v>1721</v>
      </c>
      <c r="L816" t="s">
        <v>1721</v>
      </c>
      <c r="M816" s="4">
        <v>0</v>
      </c>
      <c r="N816" s="4">
        <v>0</v>
      </c>
    </row>
    <row r="817" spans="1:14" x14ac:dyDescent="0.4">
      <c r="A817">
        <v>816</v>
      </c>
      <c r="B817">
        <v>2012</v>
      </c>
      <c r="C817" t="s">
        <v>2226</v>
      </c>
      <c r="D817" t="str">
        <f>HYPERLINK("https://ota.tournamentsoftware.com/player-profile/3939C1EF-E95B-4DD4-9208-81F6E4D5387F", "Link")</f>
        <v>Link</v>
      </c>
      <c r="E817" s="2">
        <v>65.709999999999994</v>
      </c>
      <c r="F817" s="3">
        <v>5</v>
      </c>
      <c r="G817" t="s">
        <v>29</v>
      </c>
      <c r="H817" t="s">
        <v>1784</v>
      </c>
      <c r="I817" t="s">
        <v>48</v>
      </c>
      <c r="J817" s="3">
        <v>20</v>
      </c>
      <c r="K817" t="s">
        <v>1600</v>
      </c>
      <c r="L817" t="s">
        <v>1303</v>
      </c>
      <c r="M817" s="4">
        <v>0.2</v>
      </c>
      <c r="N817" s="4">
        <v>0.14000000000000001</v>
      </c>
    </row>
    <row r="818" spans="1:14" x14ac:dyDescent="0.4">
      <c r="A818">
        <v>817</v>
      </c>
      <c r="B818">
        <v>2013</v>
      </c>
      <c r="C818" t="s">
        <v>2227</v>
      </c>
      <c r="D818" t="str">
        <f>HYPERLINK("https://ota.tournamentsoftware.com/player-profile/248A3F67-26CE-43CB-A1BB-A426F8AC9211", "Link")</f>
        <v>Link</v>
      </c>
      <c r="E818" s="2">
        <v>65.427000000000007</v>
      </c>
      <c r="F818" s="3">
        <v>4</v>
      </c>
      <c r="G818" t="s">
        <v>29</v>
      </c>
      <c r="H818" t="s">
        <v>528</v>
      </c>
      <c r="I818" t="s">
        <v>48</v>
      </c>
      <c r="J818" s="3">
        <v>24</v>
      </c>
      <c r="K818" t="s">
        <v>1347</v>
      </c>
      <c r="L818" t="s">
        <v>1574</v>
      </c>
      <c r="M818" s="4">
        <v>0.21</v>
      </c>
      <c r="N818" s="4">
        <v>0.14000000000000001</v>
      </c>
    </row>
    <row r="819" spans="1:14" x14ac:dyDescent="0.4">
      <c r="A819">
        <v>818</v>
      </c>
      <c r="B819">
        <v>2015</v>
      </c>
      <c r="C819" t="s">
        <v>2228</v>
      </c>
      <c r="D819" t="str">
        <f>HYPERLINK("https://ota.tournamentsoftware.com/player-profile/4A4D327B-3019-4349-8F36-0769D584A4FA", "Link")</f>
        <v>Link</v>
      </c>
      <c r="E819" s="2">
        <v>64.849999999999994</v>
      </c>
      <c r="F819" s="3">
        <v>6</v>
      </c>
      <c r="G819" t="s">
        <v>25</v>
      </c>
      <c r="H819" t="s">
        <v>16</v>
      </c>
      <c r="I819" t="s">
        <v>48</v>
      </c>
      <c r="J819" s="3">
        <v>50</v>
      </c>
      <c r="K819" t="s">
        <v>2229</v>
      </c>
      <c r="L819" t="s">
        <v>1189</v>
      </c>
      <c r="M819" s="4">
        <v>0.26</v>
      </c>
      <c r="N819" s="4">
        <v>0.17</v>
      </c>
    </row>
    <row r="820" spans="1:14" x14ac:dyDescent="0.4">
      <c r="A820">
        <v>819</v>
      </c>
      <c r="B820">
        <v>2010</v>
      </c>
      <c r="C820" t="s">
        <v>2230</v>
      </c>
      <c r="D820" t="str">
        <f>HYPERLINK("https://ota.tournamentsoftware.com/player-profile/9A3F7EC2-42AB-4990-9F0A-4E1CE45201A9", "Link")</f>
        <v>Link</v>
      </c>
      <c r="E820" s="2">
        <v>64.641000000000005</v>
      </c>
      <c r="F820" s="3">
        <v>2</v>
      </c>
      <c r="G820" t="s">
        <v>20</v>
      </c>
      <c r="H820" t="s">
        <v>467</v>
      </c>
      <c r="I820">
        <v>35.9</v>
      </c>
      <c r="J820" s="3">
        <v>55</v>
      </c>
      <c r="K820" t="s">
        <v>2231</v>
      </c>
      <c r="L820" t="s">
        <v>31</v>
      </c>
      <c r="M820" s="4">
        <v>0.18</v>
      </c>
      <c r="N820" s="4">
        <v>0</v>
      </c>
    </row>
    <row r="821" spans="1:14" x14ac:dyDescent="0.4">
      <c r="A821">
        <v>819</v>
      </c>
      <c r="B821">
        <v>2010</v>
      </c>
      <c r="C821" t="s">
        <v>2232</v>
      </c>
      <c r="D821" t="str">
        <f>HYPERLINK("https://ota.tournamentsoftware.com/player-profile/C95B0B63-2006-45E7-85D5-DC8305CF45E5", "Link")</f>
        <v>Link</v>
      </c>
      <c r="E821" s="2">
        <v>64.641000000000005</v>
      </c>
      <c r="F821" s="3">
        <v>1</v>
      </c>
      <c r="G821" t="s">
        <v>20</v>
      </c>
      <c r="H821" t="s">
        <v>1124</v>
      </c>
      <c r="I821">
        <v>32.200000000000003</v>
      </c>
      <c r="J821" s="3">
        <v>86</v>
      </c>
      <c r="K821" t="s">
        <v>2233</v>
      </c>
      <c r="L821" t="s">
        <v>31</v>
      </c>
      <c r="M821" s="4">
        <v>0.34</v>
      </c>
      <c r="N821" s="4">
        <v>0</v>
      </c>
    </row>
    <row r="822" spans="1:14" x14ac:dyDescent="0.4">
      <c r="A822">
        <v>821</v>
      </c>
      <c r="B822">
        <v>2010</v>
      </c>
      <c r="C822" t="s">
        <v>2234</v>
      </c>
      <c r="D822" t="str">
        <f>HYPERLINK("https://ota.tournamentsoftware.com/player-profile/79682F32-E003-49F6-BF91-D4C036733217", "Link")</f>
        <v>Link</v>
      </c>
      <c r="E822" s="2">
        <v>64.147000000000006</v>
      </c>
      <c r="F822" s="3">
        <v>3</v>
      </c>
      <c r="G822" t="s">
        <v>20</v>
      </c>
      <c r="H822" t="s">
        <v>296</v>
      </c>
      <c r="I822">
        <v>37.5</v>
      </c>
      <c r="J822" s="3">
        <v>9</v>
      </c>
      <c r="K822" t="s">
        <v>1554</v>
      </c>
      <c r="L822" t="s">
        <v>1243</v>
      </c>
      <c r="M822" s="4">
        <v>0.33</v>
      </c>
      <c r="N822" s="4">
        <v>0.4</v>
      </c>
    </row>
    <row r="823" spans="1:14" x14ac:dyDescent="0.4">
      <c r="A823">
        <v>822</v>
      </c>
      <c r="B823">
        <v>2012</v>
      </c>
      <c r="C823" t="s">
        <v>2235</v>
      </c>
      <c r="D823" t="str">
        <f>HYPERLINK("https://ota.tournamentsoftware.com/player-profile/89C8AA4C-1698-4049-8B88-9B77FC5C4B9B", "Link")</f>
        <v>Link</v>
      </c>
      <c r="E823" s="2">
        <v>64</v>
      </c>
      <c r="F823" s="3">
        <v>2</v>
      </c>
      <c r="G823" t="s">
        <v>29</v>
      </c>
      <c r="H823" t="s">
        <v>103</v>
      </c>
      <c r="I823">
        <v>32.5</v>
      </c>
      <c r="J823" s="3">
        <v>77</v>
      </c>
      <c r="K823" t="s">
        <v>2236</v>
      </c>
      <c r="L823" t="s">
        <v>2237</v>
      </c>
      <c r="M823" s="4">
        <v>0.51</v>
      </c>
      <c r="N823" s="4">
        <v>0.75</v>
      </c>
    </row>
    <row r="824" spans="1:14" x14ac:dyDescent="0.4">
      <c r="A824">
        <v>823</v>
      </c>
      <c r="B824">
        <v>2013</v>
      </c>
      <c r="C824" t="s">
        <v>2238</v>
      </c>
      <c r="D824" t="str">
        <f>HYPERLINK("https://ota.tournamentsoftware.com/player-profile/468D56FB-0ABD-4840-82FB-F2B1EB075075", "Link")</f>
        <v>Link</v>
      </c>
      <c r="E824" s="2">
        <v>63.86</v>
      </c>
      <c r="F824" s="3">
        <v>4</v>
      </c>
      <c r="G824" t="s">
        <v>29</v>
      </c>
      <c r="H824" t="s">
        <v>2193</v>
      </c>
      <c r="I824">
        <v>39.9</v>
      </c>
      <c r="J824" s="3">
        <v>8</v>
      </c>
      <c r="K824" t="s">
        <v>1324</v>
      </c>
      <c r="L824" t="s">
        <v>1721</v>
      </c>
      <c r="M824" s="4">
        <v>0.12</v>
      </c>
      <c r="N824" s="4">
        <v>0</v>
      </c>
    </row>
    <row r="825" spans="1:14" x14ac:dyDescent="0.4">
      <c r="A825">
        <v>824</v>
      </c>
      <c r="B825">
        <v>2013</v>
      </c>
      <c r="C825" t="s">
        <v>2239</v>
      </c>
      <c r="D825" t="str">
        <f>HYPERLINK("https://ota.tournamentsoftware.com/player-profile/86B52BC3-1BF6-4334-8E35-8F6D2AF1C95B", "Link")</f>
        <v>Link</v>
      </c>
      <c r="E825" s="2">
        <v>63.786999999999999</v>
      </c>
      <c r="F825" s="3">
        <v>10</v>
      </c>
      <c r="G825" t="s">
        <v>25</v>
      </c>
      <c r="H825" t="s">
        <v>182</v>
      </c>
      <c r="I825">
        <v>38.299999999999997</v>
      </c>
      <c r="J825" s="3">
        <v>58</v>
      </c>
      <c r="K825" t="s">
        <v>2240</v>
      </c>
      <c r="L825" t="s">
        <v>1303</v>
      </c>
      <c r="M825" s="4">
        <v>0.16</v>
      </c>
      <c r="N825" s="4">
        <v>0.14000000000000001</v>
      </c>
    </row>
    <row r="826" spans="1:14" x14ac:dyDescent="0.4">
      <c r="A826">
        <v>825</v>
      </c>
      <c r="B826">
        <v>2011</v>
      </c>
      <c r="C826" t="s">
        <v>2241</v>
      </c>
      <c r="D826" t="str">
        <f>HYPERLINK("https://ota.tournamentsoftware.com/player-profile/22EFECE2-C062-43E1-81B7-9E7C71608899", "Link")</f>
        <v>Link</v>
      </c>
      <c r="E826" s="2">
        <v>63.369</v>
      </c>
      <c r="F826" s="3">
        <v>2</v>
      </c>
      <c r="G826" t="s">
        <v>29</v>
      </c>
      <c r="H826" t="s">
        <v>364</v>
      </c>
      <c r="I826">
        <v>38</v>
      </c>
      <c r="J826" s="3">
        <v>2</v>
      </c>
      <c r="K826" t="s">
        <v>1524</v>
      </c>
      <c r="L826" t="s">
        <v>1524</v>
      </c>
      <c r="M826" s="4">
        <v>0</v>
      </c>
      <c r="N826" s="4">
        <v>0</v>
      </c>
    </row>
    <row r="827" spans="1:14" x14ac:dyDescent="0.4">
      <c r="A827">
        <v>826</v>
      </c>
      <c r="B827">
        <v>2013</v>
      </c>
      <c r="C827" t="s">
        <v>2242</v>
      </c>
      <c r="D827" t="str">
        <f>HYPERLINK("https://ota.tournamentsoftware.com/player-profile/F6904719-B024-412B-8805-0CEB145651FD", "Link")</f>
        <v>Link</v>
      </c>
      <c r="E827" s="2">
        <v>63.287999999999997</v>
      </c>
      <c r="F827" s="3">
        <v>3</v>
      </c>
      <c r="G827" t="s">
        <v>369</v>
      </c>
      <c r="H827" t="s">
        <v>732</v>
      </c>
      <c r="I827">
        <v>36.6</v>
      </c>
      <c r="J827" s="3">
        <v>136</v>
      </c>
      <c r="K827" t="s">
        <v>2243</v>
      </c>
      <c r="L827" t="s">
        <v>932</v>
      </c>
      <c r="M827" s="4">
        <v>0.48</v>
      </c>
      <c r="N827" s="4">
        <v>0.3</v>
      </c>
    </row>
    <row r="828" spans="1:14" x14ac:dyDescent="0.4">
      <c r="A828">
        <v>827</v>
      </c>
      <c r="B828">
        <v>2015</v>
      </c>
      <c r="C828" t="s">
        <v>2244</v>
      </c>
      <c r="D828" t="str">
        <f>HYPERLINK("https://ota.tournamentsoftware.com/player-profile/A24CEE26-7629-46B9-89B0-12B054D2DFB9", "Link")</f>
        <v>Link</v>
      </c>
      <c r="E828" s="2">
        <v>63.274999999999999</v>
      </c>
      <c r="F828" s="3">
        <v>13</v>
      </c>
      <c r="G828" t="s">
        <v>109</v>
      </c>
      <c r="H828" t="s">
        <v>387</v>
      </c>
      <c r="I828">
        <v>33.6</v>
      </c>
      <c r="J828" s="3">
        <v>152</v>
      </c>
      <c r="K828" t="s">
        <v>2245</v>
      </c>
      <c r="L828" t="s">
        <v>2246</v>
      </c>
      <c r="M828" s="4">
        <v>0.59</v>
      </c>
      <c r="N828" s="4">
        <v>0.67</v>
      </c>
    </row>
    <row r="829" spans="1:14" x14ac:dyDescent="0.4">
      <c r="A829">
        <v>828</v>
      </c>
      <c r="B829">
        <v>2012</v>
      </c>
      <c r="C829" t="s">
        <v>2247</v>
      </c>
      <c r="D829" t="str">
        <f>HYPERLINK("https://ota.tournamentsoftware.com/player-profile/0A8F7797-88F4-49C6-8F3D-6079B8242406", "Link")</f>
        <v>Link</v>
      </c>
      <c r="E829" s="2">
        <v>62.908999999999999</v>
      </c>
      <c r="F829" s="3">
        <v>5</v>
      </c>
      <c r="G829" t="s">
        <v>29</v>
      </c>
      <c r="H829" t="s">
        <v>16</v>
      </c>
      <c r="I829">
        <v>37.9</v>
      </c>
      <c r="J829" s="3">
        <v>11</v>
      </c>
      <c r="K829" t="s">
        <v>1020</v>
      </c>
      <c r="L829" t="s">
        <v>1674</v>
      </c>
      <c r="M829" s="4">
        <v>0.18</v>
      </c>
      <c r="N829" s="4">
        <v>0.2</v>
      </c>
    </row>
    <row r="830" spans="1:14" x14ac:dyDescent="0.4">
      <c r="A830">
        <v>829</v>
      </c>
      <c r="B830">
        <v>2013</v>
      </c>
      <c r="C830" t="s">
        <v>2248</v>
      </c>
      <c r="D830" t="str">
        <f>HYPERLINK("https://ota.tournamentsoftware.com/player-profile/B5AD0E2A-4843-4177-AD96-5A3203B5C718", "Link")</f>
        <v>Link</v>
      </c>
      <c r="E830" s="2">
        <v>62.695</v>
      </c>
      <c r="F830" s="3">
        <v>6</v>
      </c>
      <c r="G830" t="s">
        <v>29</v>
      </c>
      <c r="H830" t="s">
        <v>199</v>
      </c>
      <c r="I830" t="s">
        <v>48</v>
      </c>
      <c r="J830" s="3">
        <v>25</v>
      </c>
      <c r="K830" t="s">
        <v>1039</v>
      </c>
      <c r="L830" t="s">
        <v>1854</v>
      </c>
      <c r="M830" s="4">
        <v>0.44</v>
      </c>
      <c r="N830" s="4">
        <v>0.2</v>
      </c>
    </row>
    <row r="831" spans="1:14" x14ac:dyDescent="0.4">
      <c r="A831">
        <v>830</v>
      </c>
      <c r="B831">
        <v>2012</v>
      </c>
      <c r="C831" t="s">
        <v>2249</v>
      </c>
      <c r="D831" t="str">
        <f>HYPERLINK("https://ota.tournamentsoftware.com/player-profile/672C977E-EE19-4DD0-AE73-F6FCDD2EE1E1", "Link")</f>
        <v>Link</v>
      </c>
      <c r="E831" s="2">
        <v>62.453000000000003</v>
      </c>
      <c r="F831" s="3">
        <v>4</v>
      </c>
      <c r="G831" t="s">
        <v>29</v>
      </c>
      <c r="H831" t="s">
        <v>2250</v>
      </c>
      <c r="I831">
        <v>39.1</v>
      </c>
      <c r="J831" s="3">
        <v>22</v>
      </c>
      <c r="K831" t="s">
        <v>2179</v>
      </c>
      <c r="L831" t="s">
        <v>1444</v>
      </c>
      <c r="M831" s="4">
        <v>0.41</v>
      </c>
      <c r="N831" s="4">
        <v>0.22</v>
      </c>
    </row>
    <row r="832" spans="1:14" x14ac:dyDescent="0.4">
      <c r="A832">
        <v>831</v>
      </c>
      <c r="B832">
        <v>2016</v>
      </c>
      <c r="C832" t="s">
        <v>2251</v>
      </c>
      <c r="D832" t="str">
        <f>HYPERLINK("https://ota.tournamentsoftware.com/player-profile/B433F420-A779-4270-B32A-8DE5FF43BD05", "Link")</f>
        <v>Link</v>
      </c>
      <c r="E832" s="2">
        <v>62.411999999999999</v>
      </c>
      <c r="F832" s="3">
        <v>12</v>
      </c>
      <c r="G832" t="s">
        <v>29</v>
      </c>
      <c r="H832" t="s">
        <v>88</v>
      </c>
      <c r="I832" t="s">
        <v>48</v>
      </c>
      <c r="J832" s="3">
        <v>76</v>
      </c>
      <c r="K832" t="s">
        <v>2252</v>
      </c>
      <c r="L832" t="s">
        <v>1778</v>
      </c>
      <c r="M832" s="4">
        <v>0.45</v>
      </c>
      <c r="N832" s="4">
        <v>0.46</v>
      </c>
    </row>
    <row r="833" spans="1:14" x14ac:dyDescent="0.4">
      <c r="A833">
        <v>832</v>
      </c>
      <c r="B833">
        <v>2011</v>
      </c>
      <c r="C833" t="s">
        <v>2253</v>
      </c>
      <c r="D833" t="str">
        <f>HYPERLINK("https://ota.tournamentsoftware.com/player-profile/B4CB781D-57AC-4FE2-89B5-D0776DAD6BA8", "Link")</f>
        <v>Link</v>
      </c>
      <c r="E833" s="2">
        <v>62.302999999999997</v>
      </c>
      <c r="F833" s="3">
        <v>1</v>
      </c>
      <c r="G833" t="s">
        <v>497</v>
      </c>
      <c r="H833" t="s">
        <v>498</v>
      </c>
      <c r="I833" t="s">
        <v>48</v>
      </c>
      <c r="J833" s="3">
        <v>2</v>
      </c>
      <c r="K833" t="s">
        <v>523</v>
      </c>
      <c r="L833" t="s">
        <v>523</v>
      </c>
      <c r="M833" s="4">
        <v>0.5</v>
      </c>
      <c r="N833" s="4">
        <v>0.5</v>
      </c>
    </row>
    <row r="834" spans="1:14" x14ac:dyDescent="0.4">
      <c r="A834">
        <v>833</v>
      </c>
      <c r="B834">
        <v>2014</v>
      </c>
      <c r="C834" t="s">
        <v>2254</v>
      </c>
      <c r="D834" t="str">
        <f>HYPERLINK("https://ota.tournamentsoftware.com/player-profile/F00195EB-06BF-48AD-9E24-7FA037871F13", "Link")</f>
        <v>Link</v>
      </c>
      <c r="E834" s="2">
        <v>62.110999999999997</v>
      </c>
      <c r="F834" s="3">
        <v>3</v>
      </c>
      <c r="G834" t="s">
        <v>29</v>
      </c>
      <c r="H834" t="s">
        <v>1435</v>
      </c>
      <c r="I834">
        <v>38.799999999999997</v>
      </c>
      <c r="J834" s="3">
        <v>54</v>
      </c>
      <c r="K834" t="s">
        <v>2255</v>
      </c>
      <c r="L834" t="s">
        <v>1721</v>
      </c>
      <c r="M834" s="4">
        <v>0.37</v>
      </c>
      <c r="N834" s="4">
        <v>0</v>
      </c>
    </row>
    <row r="835" spans="1:14" x14ac:dyDescent="0.4">
      <c r="A835">
        <v>834</v>
      </c>
      <c r="B835">
        <v>2012</v>
      </c>
      <c r="C835" t="s">
        <v>2256</v>
      </c>
      <c r="D835" t="str">
        <f>HYPERLINK("https://ota.tournamentsoftware.com/player-profile/D65C72B6-843B-48BF-A073-AE5080F1EA2D", "Link")</f>
        <v>Link</v>
      </c>
      <c r="E835" s="2">
        <v>61.807000000000002</v>
      </c>
      <c r="F835" s="3">
        <v>4</v>
      </c>
      <c r="G835" t="s">
        <v>29</v>
      </c>
      <c r="H835" t="s">
        <v>679</v>
      </c>
      <c r="I835">
        <v>37.200000000000003</v>
      </c>
      <c r="J835" s="3">
        <v>10</v>
      </c>
      <c r="K835" t="s">
        <v>1854</v>
      </c>
      <c r="L835" t="s">
        <v>1030</v>
      </c>
      <c r="M835" s="4">
        <v>0.2</v>
      </c>
      <c r="N835" s="4">
        <v>0.25</v>
      </c>
    </row>
    <row r="836" spans="1:14" x14ac:dyDescent="0.4">
      <c r="A836">
        <v>835</v>
      </c>
      <c r="B836">
        <v>2015</v>
      </c>
      <c r="C836" t="s">
        <v>2257</v>
      </c>
      <c r="D836" t="str">
        <f>HYPERLINK("https://ota.tournamentsoftware.com/player-profile/82684D26-C7AE-41C6-893D-5E94585A41D7", "Link")</f>
        <v>Link</v>
      </c>
      <c r="E836" s="2">
        <v>60.704999999999998</v>
      </c>
      <c r="F836" s="3">
        <v>6</v>
      </c>
      <c r="G836" t="s">
        <v>25</v>
      </c>
      <c r="H836" t="s">
        <v>289</v>
      </c>
      <c r="I836">
        <v>36.6</v>
      </c>
      <c r="J836" s="3">
        <v>85</v>
      </c>
      <c r="K836" t="s">
        <v>2258</v>
      </c>
      <c r="L836" t="s">
        <v>1625</v>
      </c>
      <c r="M836" s="4">
        <v>0.47</v>
      </c>
      <c r="N836" s="4">
        <v>0.33</v>
      </c>
    </row>
    <row r="837" spans="1:14" x14ac:dyDescent="0.4">
      <c r="A837">
        <v>836</v>
      </c>
      <c r="B837">
        <v>2014</v>
      </c>
      <c r="C837" t="s">
        <v>2259</v>
      </c>
      <c r="D837" t="str">
        <f>HYPERLINK("https://ota.tournamentsoftware.com/player-profile/617AABE9-B600-4656-9194-77743DDDC351", "Link")</f>
        <v>Link</v>
      </c>
      <c r="E837" s="2">
        <v>60.695</v>
      </c>
      <c r="F837" s="3">
        <v>12</v>
      </c>
      <c r="G837" t="s">
        <v>20</v>
      </c>
      <c r="H837" t="s">
        <v>43</v>
      </c>
      <c r="I837">
        <v>35.4</v>
      </c>
      <c r="J837" s="3">
        <v>128</v>
      </c>
      <c r="K837" t="s">
        <v>2260</v>
      </c>
      <c r="L837" t="s">
        <v>303</v>
      </c>
      <c r="M837" s="4">
        <v>0.52</v>
      </c>
      <c r="N837" s="4">
        <v>0.52</v>
      </c>
    </row>
    <row r="838" spans="1:14" x14ac:dyDescent="0.4">
      <c r="A838">
        <v>837</v>
      </c>
      <c r="B838">
        <v>2011</v>
      </c>
      <c r="C838" t="s">
        <v>2261</v>
      </c>
      <c r="D838" t="str">
        <f>HYPERLINK("https://ota.tournamentsoftware.com/player-profile/CBBDE1EA-04D0-4124-809C-423AB7A09F2C", "Link")</f>
        <v>Link</v>
      </c>
      <c r="E838" s="2">
        <v>60.48</v>
      </c>
      <c r="F838" s="3">
        <v>1</v>
      </c>
      <c r="G838" t="s">
        <v>173</v>
      </c>
      <c r="H838" t="s">
        <v>887</v>
      </c>
      <c r="I838" t="s">
        <v>48</v>
      </c>
      <c r="J838" s="3">
        <v>8</v>
      </c>
      <c r="K838" t="s">
        <v>1030</v>
      </c>
      <c r="L838" t="s">
        <v>523</v>
      </c>
      <c r="M838" s="4">
        <v>0.25</v>
      </c>
      <c r="N838" s="4">
        <v>0.5</v>
      </c>
    </row>
    <row r="839" spans="1:14" x14ac:dyDescent="0.4">
      <c r="A839">
        <v>838</v>
      </c>
      <c r="B839">
        <v>2016</v>
      </c>
      <c r="C839" t="s">
        <v>2262</v>
      </c>
      <c r="D839" t="str">
        <f>HYPERLINK("https://ota.tournamentsoftware.com/player-profile/8FB2FF81-D0FE-4491-B99E-18BAAFE1E3CD", "Link")</f>
        <v>Link</v>
      </c>
      <c r="E839" s="2">
        <v>60.335000000000001</v>
      </c>
      <c r="F839" s="3">
        <v>9</v>
      </c>
      <c r="G839" t="s">
        <v>25</v>
      </c>
      <c r="H839" t="s">
        <v>16</v>
      </c>
      <c r="I839">
        <v>35.1</v>
      </c>
      <c r="J839" s="3">
        <v>64</v>
      </c>
      <c r="K839" t="s">
        <v>1125</v>
      </c>
      <c r="L839" t="s">
        <v>2263</v>
      </c>
      <c r="M839" s="4">
        <v>0.61</v>
      </c>
      <c r="N839" s="4">
        <v>0.57999999999999996</v>
      </c>
    </row>
    <row r="840" spans="1:14" x14ac:dyDescent="0.4">
      <c r="A840">
        <v>839</v>
      </c>
      <c r="B840">
        <v>2016</v>
      </c>
      <c r="C840" t="s">
        <v>2264</v>
      </c>
      <c r="D840" t="str">
        <f>HYPERLINK("https://ota.tournamentsoftware.com/player-profile/E53B2389-2E47-459E-9543-5DBB506C324A", "Link")</f>
        <v>Link</v>
      </c>
      <c r="E840" s="2">
        <v>60.24</v>
      </c>
      <c r="F840" s="3">
        <v>14</v>
      </c>
      <c r="G840" t="s">
        <v>29</v>
      </c>
      <c r="H840" t="s">
        <v>471</v>
      </c>
      <c r="I840">
        <v>36.9</v>
      </c>
      <c r="J840" s="3">
        <v>152</v>
      </c>
      <c r="K840" t="s">
        <v>2265</v>
      </c>
      <c r="L840" t="s">
        <v>2266</v>
      </c>
      <c r="M840" s="4">
        <v>0.41</v>
      </c>
      <c r="N840" s="4">
        <v>0.51</v>
      </c>
    </row>
    <row r="841" spans="1:14" x14ac:dyDescent="0.4">
      <c r="A841">
        <v>840</v>
      </c>
      <c r="B841">
        <v>2011</v>
      </c>
      <c r="C841" t="s">
        <v>2267</v>
      </c>
      <c r="D841" t="str">
        <f>HYPERLINK("https://ota.tournamentsoftware.com/player-profile/83A2B96A-F95F-4B03-844F-1B1B8F0B6B1D", "Link")</f>
        <v>Link</v>
      </c>
      <c r="E841" s="2">
        <v>60.238</v>
      </c>
      <c r="F841" s="3">
        <v>1</v>
      </c>
      <c r="G841" t="s">
        <v>20</v>
      </c>
      <c r="H841" t="s">
        <v>1897</v>
      </c>
      <c r="I841">
        <v>35.700000000000003</v>
      </c>
      <c r="J841" s="3">
        <v>2</v>
      </c>
      <c r="K841" t="s">
        <v>1524</v>
      </c>
      <c r="L841" t="s">
        <v>1524</v>
      </c>
      <c r="M841" s="4">
        <v>0</v>
      </c>
      <c r="N841" s="4">
        <v>0</v>
      </c>
    </row>
    <row r="842" spans="1:14" x14ac:dyDescent="0.4">
      <c r="A842">
        <v>841</v>
      </c>
      <c r="B842">
        <v>2016</v>
      </c>
      <c r="C842" t="s">
        <v>2268</v>
      </c>
      <c r="D842" t="str">
        <f>HYPERLINK("https://ota.tournamentsoftware.com/player-profile/670B74EC-3F81-45DD-8F9B-AEE768B61639", "Link")</f>
        <v>Link</v>
      </c>
      <c r="E842" s="2">
        <v>60.234999999999999</v>
      </c>
      <c r="F842" s="3">
        <v>11</v>
      </c>
      <c r="G842" t="s">
        <v>20</v>
      </c>
      <c r="H842" t="s">
        <v>127</v>
      </c>
      <c r="I842">
        <v>35.9</v>
      </c>
      <c r="J842" s="3">
        <v>157</v>
      </c>
      <c r="K842" t="s">
        <v>866</v>
      </c>
      <c r="L842" t="s">
        <v>2042</v>
      </c>
      <c r="M842" s="4">
        <v>0.56000000000000005</v>
      </c>
      <c r="N842" s="4">
        <v>0.33</v>
      </c>
    </row>
    <row r="843" spans="1:14" x14ac:dyDescent="0.4">
      <c r="A843">
        <v>842</v>
      </c>
      <c r="B843">
        <v>2015</v>
      </c>
      <c r="C843" t="s">
        <v>2269</v>
      </c>
      <c r="D843" t="str">
        <f>HYPERLINK("https://ota.tournamentsoftware.com/player-profile/51794C7A-992F-4A4D-9983-0483174644A1", "Link")</f>
        <v>Link</v>
      </c>
      <c r="E843" s="2">
        <v>59.63</v>
      </c>
      <c r="F843" s="3">
        <v>18</v>
      </c>
      <c r="G843" t="s">
        <v>20</v>
      </c>
      <c r="H843" t="s">
        <v>127</v>
      </c>
      <c r="I843">
        <v>34.799999999999997</v>
      </c>
      <c r="J843" s="3">
        <v>153</v>
      </c>
      <c r="K843" t="s">
        <v>2270</v>
      </c>
      <c r="L843" t="s">
        <v>976</v>
      </c>
      <c r="M843" s="4">
        <v>0.48</v>
      </c>
      <c r="N843" s="4">
        <v>0.4</v>
      </c>
    </row>
    <row r="844" spans="1:14" x14ac:dyDescent="0.4">
      <c r="A844">
        <v>843</v>
      </c>
      <c r="B844">
        <v>2014</v>
      </c>
      <c r="C844" t="s">
        <v>2271</v>
      </c>
      <c r="D844" t="str">
        <f>HYPERLINK("https://ota.tournamentsoftware.com/player-profile/836F9923-C4A5-42E1-8BF0-0788DAB02146", "Link")</f>
        <v>Link</v>
      </c>
      <c r="E844" s="2">
        <v>59.607999999999997</v>
      </c>
      <c r="F844" s="3">
        <v>6</v>
      </c>
      <c r="G844" t="s">
        <v>29</v>
      </c>
      <c r="H844" t="s">
        <v>904</v>
      </c>
      <c r="I844" t="s">
        <v>48</v>
      </c>
      <c r="J844" s="3">
        <v>117</v>
      </c>
      <c r="K844" t="s">
        <v>2272</v>
      </c>
      <c r="L844" t="s">
        <v>534</v>
      </c>
      <c r="M844" s="4">
        <v>0.32</v>
      </c>
      <c r="N844" s="4">
        <v>0.56999999999999995</v>
      </c>
    </row>
    <row r="845" spans="1:14" x14ac:dyDescent="0.4">
      <c r="A845">
        <v>844</v>
      </c>
      <c r="B845">
        <v>2014</v>
      </c>
      <c r="C845" t="s">
        <v>2273</v>
      </c>
      <c r="D845" t="str">
        <f>HYPERLINK("https://ota.tournamentsoftware.com/player-profile/43FF8AFD-A54E-4011-88C7-132B60B568E8", "Link")</f>
        <v>Link</v>
      </c>
      <c r="E845" s="2">
        <v>59.372999999999998</v>
      </c>
      <c r="F845" s="3">
        <v>5</v>
      </c>
      <c r="G845" t="s">
        <v>29</v>
      </c>
      <c r="H845" t="s">
        <v>2124</v>
      </c>
      <c r="I845" t="s">
        <v>48</v>
      </c>
      <c r="J845" s="3">
        <v>19</v>
      </c>
      <c r="K845" t="s">
        <v>2210</v>
      </c>
      <c r="L845" t="s">
        <v>1267</v>
      </c>
      <c r="M845" s="4">
        <v>0.21</v>
      </c>
      <c r="N845" s="4">
        <v>0.25</v>
      </c>
    </row>
    <row r="846" spans="1:14" x14ac:dyDescent="0.4">
      <c r="A846">
        <v>845</v>
      </c>
      <c r="B846">
        <v>2014</v>
      </c>
      <c r="C846" t="s">
        <v>2274</v>
      </c>
      <c r="D846" t="str">
        <f>HYPERLINK("https://ota.tournamentsoftware.com/player-profile/1DC3BD6C-A3EA-46CB-A6B3-CB5D3D2F1E7D", "Link")</f>
        <v>Link</v>
      </c>
      <c r="E846" s="2">
        <v>59.121000000000002</v>
      </c>
      <c r="F846" s="3">
        <v>4</v>
      </c>
      <c r="G846" t="s">
        <v>25</v>
      </c>
      <c r="H846" t="s">
        <v>840</v>
      </c>
      <c r="I846">
        <v>38.799999999999997</v>
      </c>
      <c r="J846" s="3">
        <v>21</v>
      </c>
      <c r="K846" t="s">
        <v>1818</v>
      </c>
      <c r="L846" t="s">
        <v>1364</v>
      </c>
      <c r="M846" s="4">
        <v>0.28999999999999998</v>
      </c>
      <c r="N846" s="4">
        <v>0.11</v>
      </c>
    </row>
    <row r="847" spans="1:14" x14ac:dyDescent="0.4">
      <c r="A847">
        <v>846</v>
      </c>
      <c r="B847">
        <v>2015</v>
      </c>
      <c r="C847" t="s">
        <v>2275</v>
      </c>
      <c r="D847" t="str">
        <f>HYPERLINK("https://ota.tournamentsoftware.com/player-profile/DC3D1043-9FBA-467F-8103-AE9D0DEEF066", "Link")</f>
        <v>Link</v>
      </c>
      <c r="E847" s="2">
        <v>58.941000000000003</v>
      </c>
      <c r="F847" s="3">
        <v>11</v>
      </c>
      <c r="G847" t="s">
        <v>29</v>
      </c>
      <c r="H847" t="s">
        <v>2276</v>
      </c>
      <c r="I847" t="s">
        <v>48</v>
      </c>
      <c r="J847" s="3">
        <v>33</v>
      </c>
      <c r="K847" t="s">
        <v>1808</v>
      </c>
      <c r="L847" t="s">
        <v>1097</v>
      </c>
      <c r="M847" s="4">
        <v>0.39</v>
      </c>
      <c r="N847" s="4">
        <v>0.36</v>
      </c>
    </row>
    <row r="848" spans="1:14" x14ac:dyDescent="0.4">
      <c r="A848">
        <v>847</v>
      </c>
      <c r="B848">
        <v>2013</v>
      </c>
      <c r="C848" t="s">
        <v>2277</v>
      </c>
      <c r="D848" t="str">
        <f>HYPERLINK("https://ota.tournamentsoftware.com/player-profile/A7978533-179E-4FC4-8D48-C160FA6FF2E3", "Link")</f>
        <v>Link</v>
      </c>
      <c r="E848" s="2">
        <v>58.878</v>
      </c>
      <c r="F848" s="3">
        <v>3</v>
      </c>
      <c r="G848" t="s">
        <v>29</v>
      </c>
      <c r="H848" t="s">
        <v>16</v>
      </c>
      <c r="I848">
        <v>35.1</v>
      </c>
      <c r="J848" s="3">
        <v>97</v>
      </c>
      <c r="K848" t="s">
        <v>2278</v>
      </c>
      <c r="L848" t="s">
        <v>1240</v>
      </c>
      <c r="M848" s="4">
        <v>0.41</v>
      </c>
      <c r="N848" s="4">
        <v>0.5</v>
      </c>
    </row>
    <row r="849" spans="1:14" x14ac:dyDescent="0.4">
      <c r="A849">
        <v>848</v>
      </c>
      <c r="B849">
        <v>2015</v>
      </c>
      <c r="C849" t="s">
        <v>2279</v>
      </c>
      <c r="D849" t="str">
        <f>HYPERLINK("https://ota.tournamentsoftware.com/player-profile/220708AF-B049-4C3B-83FA-C1AAC60269C5", "Link")</f>
        <v>Link</v>
      </c>
      <c r="E849" s="2">
        <v>58.433999999999997</v>
      </c>
      <c r="F849" s="3">
        <v>16</v>
      </c>
      <c r="G849" t="s">
        <v>20</v>
      </c>
      <c r="H849" t="s">
        <v>736</v>
      </c>
      <c r="I849">
        <v>35.1</v>
      </c>
      <c r="J849" s="3">
        <v>133</v>
      </c>
      <c r="K849" t="s">
        <v>2280</v>
      </c>
      <c r="L849" t="s">
        <v>557</v>
      </c>
      <c r="M849" s="4">
        <v>0.4</v>
      </c>
      <c r="N849" s="4">
        <v>0.59</v>
      </c>
    </row>
    <row r="850" spans="1:14" x14ac:dyDescent="0.4">
      <c r="A850">
        <v>849</v>
      </c>
      <c r="B850">
        <v>2015</v>
      </c>
      <c r="C850" t="s">
        <v>2281</v>
      </c>
      <c r="D850" t="str">
        <f>HYPERLINK("https://ota.tournamentsoftware.com/player-profile/1E3A662C-1993-423F-99BB-0CD2F93CC62A", "Link")</f>
        <v>Link</v>
      </c>
      <c r="E850" s="2">
        <v>58.125</v>
      </c>
      <c r="F850" s="3">
        <v>11</v>
      </c>
      <c r="G850" t="s">
        <v>109</v>
      </c>
      <c r="H850" t="s">
        <v>387</v>
      </c>
      <c r="I850">
        <v>37.4</v>
      </c>
      <c r="J850" s="3">
        <v>74</v>
      </c>
      <c r="K850" t="s">
        <v>1076</v>
      </c>
      <c r="L850" t="s">
        <v>1097</v>
      </c>
      <c r="M850" s="4">
        <v>0.3</v>
      </c>
      <c r="N850" s="4">
        <v>0.36</v>
      </c>
    </row>
    <row r="851" spans="1:14" x14ac:dyDescent="0.4">
      <c r="A851">
        <v>850</v>
      </c>
      <c r="B851">
        <v>2012</v>
      </c>
      <c r="C851" t="s">
        <v>2282</v>
      </c>
      <c r="D851" t="str">
        <f>HYPERLINK("https://ota.tournamentsoftware.com/player-profile/F5AC5875-4E89-4D3E-BF17-24986F702240", "Link")</f>
        <v>Link</v>
      </c>
      <c r="E851" s="2">
        <v>57.902000000000001</v>
      </c>
      <c r="F851" s="3">
        <v>11</v>
      </c>
      <c r="G851" t="s">
        <v>29</v>
      </c>
      <c r="H851" t="s">
        <v>2283</v>
      </c>
      <c r="I851">
        <v>38.200000000000003</v>
      </c>
      <c r="J851" s="3">
        <v>43</v>
      </c>
      <c r="K851" t="s">
        <v>2284</v>
      </c>
      <c r="L851" t="s">
        <v>2285</v>
      </c>
      <c r="M851" s="4">
        <v>0.26</v>
      </c>
      <c r="N851" s="4">
        <v>0.28000000000000003</v>
      </c>
    </row>
    <row r="852" spans="1:14" x14ac:dyDescent="0.4">
      <c r="A852">
        <v>851</v>
      </c>
      <c r="B852">
        <v>2010</v>
      </c>
      <c r="C852" t="s">
        <v>2286</v>
      </c>
      <c r="D852" t="str">
        <f>HYPERLINK("https://ota.tournamentsoftware.com/player-profile/77A11183-134A-4199-A04C-ED459FBDCE5B", "Link")</f>
        <v>Link</v>
      </c>
      <c r="E852" s="2">
        <v>57.24</v>
      </c>
      <c r="F852" s="3">
        <v>1</v>
      </c>
      <c r="G852" t="s">
        <v>29</v>
      </c>
      <c r="H852" t="s">
        <v>916</v>
      </c>
      <c r="I852" t="s">
        <v>48</v>
      </c>
      <c r="J852" s="3">
        <v>7</v>
      </c>
      <c r="K852" t="s">
        <v>872</v>
      </c>
      <c r="L852" t="s">
        <v>523</v>
      </c>
      <c r="M852" s="4">
        <v>0.28999999999999998</v>
      </c>
      <c r="N852" s="4">
        <v>0.5</v>
      </c>
    </row>
    <row r="853" spans="1:14" x14ac:dyDescent="0.4">
      <c r="A853">
        <v>851</v>
      </c>
      <c r="B853">
        <v>2011</v>
      </c>
      <c r="C853" t="s">
        <v>2287</v>
      </c>
      <c r="D853" t="str">
        <f>HYPERLINK("https://ota.tournamentsoftware.com/player-profile/4FB54132-2CD4-48CC-820A-2DFE0A28DE5C", "Link")</f>
        <v>Link</v>
      </c>
      <c r="E853" s="2">
        <v>57.24</v>
      </c>
      <c r="F853" s="3">
        <v>1</v>
      </c>
      <c r="G853" t="s">
        <v>29</v>
      </c>
      <c r="H853" t="s">
        <v>2288</v>
      </c>
      <c r="I853" t="s">
        <v>48</v>
      </c>
      <c r="J853" s="3">
        <v>53</v>
      </c>
      <c r="K853" t="s">
        <v>2289</v>
      </c>
      <c r="L853" t="s">
        <v>433</v>
      </c>
      <c r="M853" s="4">
        <v>0.45</v>
      </c>
      <c r="N853" s="4">
        <v>0</v>
      </c>
    </row>
    <row r="854" spans="1:14" x14ac:dyDescent="0.4">
      <c r="A854">
        <v>853</v>
      </c>
      <c r="B854">
        <v>2010</v>
      </c>
      <c r="C854" t="s">
        <v>2290</v>
      </c>
      <c r="D854" t="str">
        <f>HYPERLINK("https://ota.tournamentsoftware.com/player-profile/42B998E7-1358-499F-B717-ED2AC62E9D1F", "Link")</f>
        <v>Link</v>
      </c>
      <c r="E854" s="2">
        <v>57.081000000000003</v>
      </c>
      <c r="F854" s="3">
        <v>2</v>
      </c>
      <c r="G854" t="s">
        <v>29</v>
      </c>
      <c r="H854" t="s">
        <v>1985</v>
      </c>
      <c r="I854">
        <v>37</v>
      </c>
      <c r="J854" s="3">
        <v>29</v>
      </c>
      <c r="K854" t="s">
        <v>2285</v>
      </c>
      <c r="L854" t="s">
        <v>879</v>
      </c>
      <c r="M854" s="4">
        <v>0.28000000000000003</v>
      </c>
      <c r="N854" s="4">
        <v>0</v>
      </c>
    </row>
    <row r="855" spans="1:14" x14ac:dyDescent="0.4">
      <c r="A855">
        <v>854</v>
      </c>
      <c r="B855">
        <v>2013</v>
      </c>
      <c r="C855" t="s">
        <v>2291</v>
      </c>
      <c r="D855" t="str">
        <f>HYPERLINK("https://ota.tournamentsoftware.com/player-profile/1A26365B-FAA0-4130-8F92-B67D497E82D9", "Link")</f>
        <v>Link</v>
      </c>
      <c r="E855" s="2">
        <v>57.069000000000003</v>
      </c>
      <c r="F855" s="3">
        <v>4</v>
      </c>
      <c r="G855" t="s">
        <v>29</v>
      </c>
      <c r="H855" t="s">
        <v>16</v>
      </c>
      <c r="I855">
        <v>34.299999999999997</v>
      </c>
      <c r="J855" s="3">
        <v>10</v>
      </c>
      <c r="K855" t="s">
        <v>1120</v>
      </c>
      <c r="L855" t="s">
        <v>1267</v>
      </c>
      <c r="M855" s="4">
        <v>0.4</v>
      </c>
      <c r="N855" s="4">
        <v>0.25</v>
      </c>
    </row>
    <row r="856" spans="1:14" x14ac:dyDescent="0.4">
      <c r="A856">
        <v>855</v>
      </c>
      <c r="B856">
        <v>2013</v>
      </c>
      <c r="C856" t="s">
        <v>2292</v>
      </c>
      <c r="D856" t="str">
        <f>HYPERLINK("https://ota.tournamentsoftware.com/player-profile/A5724AD9-99FF-4D46-A565-ED1BBCAE83F4", "Link")</f>
        <v>Link</v>
      </c>
      <c r="E856" s="2">
        <v>57.045000000000002</v>
      </c>
      <c r="F856" s="3">
        <v>16</v>
      </c>
      <c r="G856" t="s">
        <v>20</v>
      </c>
      <c r="H856" t="s">
        <v>736</v>
      </c>
      <c r="I856">
        <v>35</v>
      </c>
      <c r="J856" s="3">
        <v>75</v>
      </c>
      <c r="K856" t="s">
        <v>2293</v>
      </c>
      <c r="L856" t="s">
        <v>2294</v>
      </c>
      <c r="M856" s="4">
        <v>0.4</v>
      </c>
      <c r="N856" s="4">
        <v>0.39</v>
      </c>
    </row>
    <row r="857" spans="1:14" x14ac:dyDescent="0.4">
      <c r="A857">
        <v>856</v>
      </c>
      <c r="B857">
        <v>2013</v>
      </c>
      <c r="C857" t="s">
        <v>2295</v>
      </c>
      <c r="D857" t="str">
        <f>HYPERLINK("https://ota.tournamentsoftware.com/player-profile/9FEF2F9B-F202-41CF-8B36-42B1520055E0", "Link")</f>
        <v>Link</v>
      </c>
      <c r="E857" s="2">
        <v>57.027000000000001</v>
      </c>
      <c r="F857" s="3">
        <v>9</v>
      </c>
      <c r="G857" t="s">
        <v>29</v>
      </c>
      <c r="H857" t="s">
        <v>937</v>
      </c>
      <c r="I857">
        <v>35.9</v>
      </c>
      <c r="J857" s="3">
        <v>107</v>
      </c>
      <c r="K857" t="s">
        <v>2296</v>
      </c>
      <c r="L857" t="s">
        <v>625</v>
      </c>
      <c r="M857" s="4">
        <v>0.45</v>
      </c>
      <c r="N857" s="4">
        <v>0.5</v>
      </c>
    </row>
    <row r="858" spans="1:14" x14ac:dyDescent="0.4">
      <c r="A858">
        <v>857</v>
      </c>
      <c r="B858">
        <v>2015</v>
      </c>
      <c r="C858" t="s">
        <v>2297</v>
      </c>
      <c r="D858" t="str">
        <f>HYPERLINK("https://ota.tournamentsoftware.com/player-profile/3DBBE08D-DBAA-43E3-BCD3-2820667C7A24", "Link")</f>
        <v>Link</v>
      </c>
      <c r="E858" s="2">
        <v>55.96</v>
      </c>
      <c r="F858" s="3">
        <v>10</v>
      </c>
      <c r="G858" t="s">
        <v>29</v>
      </c>
      <c r="H858" t="s">
        <v>145</v>
      </c>
      <c r="I858">
        <v>35.700000000000003</v>
      </c>
      <c r="J858" s="3">
        <v>85</v>
      </c>
      <c r="K858" t="s">
        <v>2298</v>
      </c>
      <c r="L858" t="s">
        <v>486</v>
      </c>
      <c r="M858" s="4">
        <v>0.41</v>
      </c>
      <c r="N858" s="4">
        <v>0.57999999999999996</v>
      </c>
    </row>
    <row r="859" spans="1:14" x14ac:dyDescent="0.4">
      <c r="A859">
        <v>858</v>
      </c>
      <c r="B859">
        <v>2015</v>
      </c>
      <c r="C859" t="s">
        <v>2299</v>
      </c>
      <c r="D859" t="str">
        <f>HYPERLINK("https://ota.tournamentsoftware.com/player-profile/6F8A0525-0D8F-4263-8F76-0B8CF4B34D42", "Link")</f>
        <v>Link</v>
      </c>
      <c r="E859" s="2">
        <v>55.31</v>
      </c>
      <c r="F859" s="3">
        <v>10</v>
      </c>
      <c r="G859" t="s">
        <v>109</v>
      </c>
      <c r="H859" t="s">
        <v>110</v>
      </c>
      <c r="I859">
        <v>37.299999999999997</v>
      </c>
      <c r="J859" s="3">
        <v>152</v>
      </c>
      <c r="K859" t="s">
        <v>2300</v>
      </c>
      <c r="L859" t="s">
        <v>2301</v>
      </c>
      <c r="M859" s="4">
        <v>0.54</v>
      </c>
      <c r="N859" s="4">
        <v>0.38</v>
      </c>
    </row>
    <row r="860" spans="1:14" x14ac:dyDescent="0.4">
      <c r="A860">
        <v>859</v>
      </c>
      <c r="B860">
        <v>2011</v>
      </c>
      <c r="C860" t="s">
        <v>2302</v>
      </c>
      <c r="D860" t="str">
        <f>HYPERLINK("https://ota.tournamentsoftware.com/player-profile/D31CF8E6-2D01-479E-8588-F4382F95E9AF", "Link")</f>
        <v>Link</v>
      </c>
      <c r="E860" s="2">
        <v>54.95</v>
      </c>
      <c r="F860" s="3">
        <v>2</v>
      </c>
      <c r="G860" t="s">
        <v>29</v>
      </c>
      <c r="H860" t="s">
        <v>141</v>
      </c>
      <c r="I860">
        <v>36.200000000000003</v>
      </c>
      <c r="J860" s="3">
        <v>38</v>
      </c>
      <c r="K860" t="s">
        <v>2136</v>
      </c>
      <c r="L860" t="s">
        <v>1501</v>
      </c>
      <c r="M860" s="4">
        <v>0.21</v>
      </c>
      <c r="N860" s="4">
        <v>0.27</v>
      </c>
    </row>
    <row r="861" spans="1:14" x14ac:dyDescent="0.4">
      <c r="A861">
        <v>859</v>
      </c>
      <c r="B861">
        <v>2011</v>
      </c>
      <c r="C861" t="s">
        <v>2303</v>
      </c>
      <c r="D861" t="str">
        <f>HYPERLINK("https://ota.tournamentsoftware.com/player-profile/12E597DD-CB3A-4B7B-A559-4D76E269148B", "Link")</f>
        <v>Link</v>
      </c>
      <c r="E861" s="2">
        <v>54.95</v>
      </c>
      <c r="F861" s="3">
        <v>2</v>
      </c>
      <c r="G861" t="s">
        <v>29</v>
      </c>
      <c r="H861" t="s">
        <v>1068</v>
      </c>
      <c r="I861">
        <v>35.5</v>
      </c>
      <c r="J861" s="3">
        <v>8</v>
      </c>
      <c r="K861" t="s">
        <v>1433</v>
      </c>
      <c r="L861" t="s">
        <v>1267</v>
      </c>
      <c r="M861" s="4">
        <v>0.38</v>
      </c>
      <c r="N861" s="4">
        <v>0.25</v>
      </c>
    </row>
    <row r="862" spans="1:14" x14ac:dyDescent="0.4">
      <c r="A862">
        <v>861</v>
      </c>
      <c r="B862">
        <v>2012</v>
      </c>
      <c r="C862" t="s">
        <v>2304</v>
      </c>
      <c r="D862" t="str">
        <f>HYPERLINK("https://ota.tournamentsoftware.com/player-profile/B68DC1C1-BC37-443E-AB03-601E1E7E72A2", "Link")</f>
        <v>Link</v>
      </c>
      <c r="E862" s="2">
        <v>54.499000000000002</v>
      </c>
      <c r="F862" s="3">
        <v>4</v>
      </c>
      <c r="G862" t="s">
        <v>29</v>
      </c>
      <c r="H862" t="s">
        <v>199</v>
      </c>
      <c r="I862" t="s">
        <v>48</v>
      </c>
      <c r="J862" s="3">
        <v>59</v>
      </c>
      <c r="K862" t="s">
        <v>2305</v>
      </c>
      <c r="L862" t="s">
        <v>1189</v>
      </c>
      <c r="M862" s="4">
        <v>0.44</v>
      </c>
      <c r="N862" s="4">
        <v>0.17</v>
      </c>
    </row>
    <row r="863" spans="1:14" x14ac:dyDescent="0.4">
      <c r="A863">
        <v>862</v>
      </c>
      <c r="B863">
        <v>2016</v>
      </c>
      <c r="C863" t="s">
        <v>2306</v>
      </c>
      <c r="D863" t="str">
        <f>HYPERLINK("https://ota.tournamentsoftware.com/player-profile/6DC46DF7-2964-4ED2-9C01-D39C773C942F", "Link")</f>
        <v>Link</v>
      </c>
      <c r="E863" s="2">
        <v>54.085000000000001</v>
      </c>
      <c r="F863" s="3">
        <v>7</v>
      </c>
      <c r="G863" t="s">
        <v>29</v>
      </c>
      <c r="H863" t="s">
        <v>81</v>
      </c>
      <c r="I863">
        <v>37.5</v>
      </c>
      <c r="J863" s="3">
        <v>102</v>
      </c>
      <c r="K863" t="s">
        <v>2307</v>
      </c>
      <c r="L863" t="s">
        <v>2308</v>
      </c>
      <c r="M863" s="4">
        <v>0.62</v>
      </c>
      <c r="N863" s="4">
        <v>0.66</v>
      </c>
    </row>
    <row r="864" spans="1:14" x14ac:dyDescent="0.4">
      <c r="A864">
        <v>863</v>
      </c>
      <c r="B864">
        <v>2013</v>
      </c>
      <c r="C864" t="s">
        <v>2309</v>
      </c>
      <c r="D864" t="str">
        <f>HYPERLINK("https://ota.tournamentsoftware.com/player-profile/4D297E0A-97AD-4487-A64F-403E8B3ACA30", "Link")</f>
        <v>Link</v>
      </c>
      <c r="E864" s="2">
        <v>53.4</v>
      </c>
      <c r="F864" s="3">
        <v>3</v>
      </c>
      <c r="G864" t="s">
        <v>29</v>
      </c>
      <c r="H864" t="s">
        <v>2310</v>
      </c>
      <c r="I864">
        <v>39.299999999999997</v>
      </c>
      <c r="J864" s="3">
        <v>15</v>
      </c>
      <c r="K864" t="s">
        <v>717</v>
      </c>
      <c r="L864" t="s">
        <v>2125</v>
      </c>
      <c r="M864" s="4">
        <v>0.27</v>
      </c>
      <c r="N864" s="4">
        <v>0</v>
      </c>
    </row>
    <row r="865" spans="1:14" x14ac:dyDescent="0.4">
      <c r="A865">
        <v>864</v>
      </c>
      <c r="B865">
        <v>2016</v>
      </c>
      <c r="C865" t="s">
        <v>2311</v>
      </c>
      <c r="D865" t="str">
        <f>HYPERLINK("https://ota.tournamentsoftware.com/player-profile/CE1D7CD8-1C3C-4F68-B568-48AC24E75437", "Link")</f>
        <v>Link</v>
      </c>
      <c r="E865" s="2">
        <v>53.28</v>
      </c>
      <c r="F865" s="3">
        <v>4</v>
      </c>
      <c r="G865" t="s">
        <v>25</v>
      </c>
      <c r="H865" t="s">
        <v>182</v>
      </c>
      <c r="I865">
        <v>37</v>
      </c>
      <c r="J865" s="3">
        <v>88</v>
      </c>
      <c r="K865" t="s">
        <v>2312</v>
      </c>
      <c r="L865" t="s">
        <v>2313</v>
      </c>
      <c r="M865" s="4">
        <v>0.49</v>
      </c>
      <c r="N865" s="4">
        <v>0.6</v>
      </c>
    </row>
    <row r="866" spans="1:14" x14ac:dyDescent="0.4">
      <c r="A866">
        <v>865</v>
      </c>
      <c r="B866">
        <v>2013</v>
      </c>
      <c r="C866" t="s">
        <v>2314</v>
      </c>
      <c r="D866" t="str">
        <f>HYPERLINK("https://ota.tournamentsoftware.com/player-profile/9CDD8F0E-2B06-4818-8B32-A0ED95A9E6DF", "Link")</f>
        <v>Link</v>
      </c>
      <c r="E866" s="2">
        <v>53.274000000000001</v>
      </c>
      <c r="F866" s="3">
        <v>5</v>
      </c>
      <c r="G866" t="s">
        <v>29</v>
      </c>
      <c r="H866" t="s">
        <v>1028</v>
      </c>
      <c r="I866">
        <v>38.700000000000003</v>
      </c>
      <c r="J866" s="3">
        <v>19</v>
      </c>
      <c r="K866" t="s">
        <v>1323</v>
      </c>
      <c r="L866" t="s">
        <v>1323</v>
      </c>
      <c r="M866" s="4">
        <v>0.32</v>
      </c>
      <c r="N866" s="4">
        <v>0.32</v>
      </c>
    </row>
    <row r="867" spans="1:14" x14ac:dyDescent="0.4">
      <c r="A867">
        <v>866</v>
      </c>
      <c r="B867">
        <v>2014</v>
      </c>
      <c r="C867" t="s">
        <v>2315</v>
      </c>
      <c r="D867" t="str">
        <f>HYPERLINK("https://ota.tournamentsoftware.com/player-profile/2AADF196-C892-43B1-9128-5338F8D87E95", "Link")</f>
        <v>Link</v>
      </c>
      <c r="E867" s="2">
        <v>52.454000000000001</v>
      </c>
      <c r="F867" s="3">
        <v>11</v>
      </c>
      <c r="G867" t="s">
        <v>29</v>
      </c>
      <c r="H867" t="s">
        <v>103</v>
      </c>
      <c r="I867">
        <v>39.5</v>
      </c>
      <c r="J867" s="3">
        <v>29</v>
      </c>
      <c r="K867" t="s">
        <v>2316</v>
      </c>
      <c r="L867" t="s">
        <v>1111</v>
      </c>
      <c r="M867" s="4">
        <v>0.17</v>
      </c>
      <c r="N867" s="4">
        <v>0.1</v>
      </c>
    </row>
    <row r="868" spans="1:14" x14ac:dyDescent="0.4">
      <c r="A868">
        <v>867</v>
      </c>
      <c r="B868">
        <v>2014</v>
      </c>
      <c r="C868" t="s">
        <v>2317</v>
      </c>
      <c r="D868" t="str">
        <f>HYPERLINK("https://ota.tournamentsoftware.com/player-profile/97B5DEDE-AA93-468B-902A-462AB9B42432", "Link")</f>
        <v>Link</v>
      </c>
      <c r="E868" s="2">
        <v>52.408999999999999</v>
      </c>
      <c r="F868" s="3">
        <v>10</v>
      </c>
      <c r="G868" t="s">
        <v>29</v>
      </c>
      <c r="H868" t="s">
        <v>1078</v>
      </c>
      <c r="I868">
        <v>36.9</v>
      </c>
      <c r="J868" s="3">
        <v>54</v>
      </c>
      <c r="K868" t="s">
        <v>2318</v>
      </c>
      <c r="L868" t="s">
        <v>1155</v>
      </c>
      <c r="M868" s="4">
        <v>0.56000000000000005</v>
      </c>
      <c r="N868" s="4">
        <v>0.56999999999999995</v>
      </c>
    </row>
    <row r="869" spans="1:14" x14ac:dyDescent="0.4">
      <c r="A869">
        <v>868</v>
      </c>
      <c r="B869">
        <v>2010</v>
      </c>
      <c r="C869" t="s">
        <v>2319</v>
      </c>
      <c r="D869" t="str">
        <f>HYPERLINK("https://ota.tournamentsoftware.com/player-profile/DEAF8000-712C-438E-B1D4-938541E3312A", "Link")</f>
        <v>Link</v>
      </c>
      <c r="E869" s="2">
        <v>51.914000000000001</v>
      </c>
      <c r="F869" s="3">
        <v>3</v>
      </c>
      <c r="G869" t="s">
        <v>20</v>
      </c>
      <c r="H869" t="s">
        <v>43</v>
      </c>
      <c r="I869">
        <v>34.299999999999997</v>
      </c>
      <c r="J869" s="3">
        <v>10</v>
      </c>
      <c r="K869" t="s">
        <v>932</v>
      </c>
      <c r="L869" t="s">
        <v>1407</v>
      </c>
      <c r="M869" s="4">
        <v>0.3</v>
      </c>
      <c r="N869" s="4">
        <v>0.5</v>
      </c>
    </row>
    <row r="870" spans="1:14" x14ac:dyDescent="0.4">
      <c r="A870">
        <v>869</v>
      </c>
      <c r="B870">
        <v>2015</v>
      </c>
      <c r="C870" t="s">
        <v>2320</v>
      </c>
      <c r="D870" t="str">
        <f>HYPERLINK("https://ota.tournamentsoftware.com/player-profile/3A4EF5D7-2C40-4E2A-A979-D3231C03A93C", "Link")</f>
        <v>Link</v>
      </c>
      <c r="E870" s="2">
        <v>51.709000000000003</v>
      </c>
      <c r="F870" s="3">
        <v>11</v>
      </c>
      <c r="G870" t="s">
        <v>29</v>
      </c>
      <c r="H870" t="s">
        <v>528</v>
      </c>
      <c r="I870">
        <v>37</v>
      </c>
      <c r="J870" s="3">
        <v>84</v>
      </c>
      <c r="K870" t="s">
        <v>2321</v>
      </c>
      <c r="L870" t="s">
        <v>730</v>
      </c>
      <c r="M870" s="4">
        <v>0.6</v>
      </c>
      <c r="N870" s="4">
        <v>0.25</v>
      </c>
    </row>
    <row r="871" spans="1:14" x14ac:dyDescent="0.4">
      <c r="A871">
        <v>870</v>
      </c>
      <c r="B871">
        <v>2014</v>
      </c>
      <c r="C871" t="s">
        <v>2322</v>
      </c>
      <c r="D871" t="str">
        <f>HYPERLINK("https://ota.tournamentsoftware.com/player-profile/139E73DD-882F-4509-9B0C-BB790DA8399D", "Link")</f>
        <v>Link</v>
      </c>
      <c r="E871" s="2">
        <v>50.845999999999997</v>
      </c>
      <c r="F871" s="3">
        <v>3</v>
      </c>
      <c r="G871" t="s">
        <v>15</v>
      </c>
      <c r="H871" t="s">
        <v>2323</v>
      </c>
      <c r="I871" t="s">
        <v>48</v>
      </c>
      <c r="J871" s="3">
        <v>9</v>
      </c>
      <c r="K871" t="s">
        <v>1364</v>
      </c>
      <c r="L871" t="s">
        <v>1364</v>
      </c>
      <c r="M871" s="4">
        <v>0.11</v>
      </c>
      <c r="N871" s="4">
        <v>0.11</v>
      </c>
    </row>
    <row r="872" spans="1:14" x14ac:dyDescent="0.4">
      <c r="A872">
        <v>871</v>
      </c>
      <c r="B872">
        <v>2011</v>
      </c>
      <c r="C872" t="s">
        <v>2324</v>
      </c>
      <c r="D872" t="str">
        <f>HYPERLINK("https://ota.tournamentsoftware.com/player-profile/EDFD1BED-73F2-4F32-92B4-1CF8D9DC3E3C", "Link")</f>
        <v>Link</v>
      </c>
      <c r="E872" s="2">
        <v>50.674999999999997</v>
      </c>
      <c r="F872" s="3">
        <v>5</v>
      </c>
      <c r="G872" t="s">
        <v>29</v>
      </c>
      <c r="H872" t="s">
        <v>2130</v>
      </c>
      <c r="I872">
        <v>25.5</v>
      </c>
      <c r="J872" s="3">
        <v>8</v>
      </c>
      <c r="K872" t="s">
        <v>1030</v>
      </c>
      <c r="L872" t="s">
        <v>31</v>
      </c>
      <c r="M872" s="4">
        <v>0.25</v>
      </c>
      <c r="N872" s="4">
        <v>0</v>
      </c>
    </row>
    <row r="873" spans="1:14" x14ac:dyDescent="0.4">
      <c r="A873">
        <v>872</v>
      </c>
      <c r="B873">
        <v>2010</v>
      </c>
      <c r="C873" t="s">
        <v>2325</v>
      </c>
      <c r="D873" t="str">
        <f>HYPERLINK("https://ota.tournamentsoftware.com/player-profile/665DB00C-6D80-4F88-BA64-5982CACB0141", "Link")</f>
        <v>Link</v>
      </c>
      <c r="E873" s="2">
        <v>50.4</v>
      </c>
      <c r="F873" s="3">
        <v>2</v>
      </c>
      <c r="G873" t="s">
        <v>497</v>
      </c>
      <c r="H873" t="s">
        <v>2188</v>
      </c>
      <c r="I873" t="s">
        <v>48</v>
      </c>
      <c r="J873" s="3">
        <v>8</v>
      </c>
      <c r="K873" t="s">
        <v>2195</v>
      </c>
      <c r="L873" t="s">
        <v>1524</v>
      </c>
      <c r="M873" s="4">
        <v>0</v>
      </c>
      <c r="N873" s="4">
        <v>0</v>
      </c>
    </row>
    <row r="874" spans="1:14" x14ac:dyDescent="0.4">
      <c r="A874">
        <v>873</v>
      </c>
      <c r="B874">
        <v>2012</v>
      </c>
      <c r="C874" t="s">
        <v>2326</v>
      </c>
      <c r="D874" t="str">
        <f>HYPERLINK("https://ota.tournamentsoftware.com/player-profile/74C14A51-A560-4368-85E6-96F13264726F", "Link")</f>
        <v>Link</v>
      </c>
      <c r="E874" s="2">
        <v>50.265999999999998</v>
      </c>
      <c r="F874" s="3">
        <v>4</v>
      </c>
      <c r="G874" t="s">
        <v>29</v>
      </c>
      <c r="H874" t="s">
        <v>103</v>
      </c>
      <c r="I874">
        <v>38.4</v>
      </c>
      <c r="J874" s="3">
        <v>3</v>
      </c>
      <c r="K874" t="s">
        <v>1721</v>
      </c>
      <c r="L874" t="s">
        <v>1721</v>
      </c>
      <c r="M874" s="4">
        <v>0</v>
      </c>
      <c r="N874" s="4">
        <v>0</v>
      </c>
    </row>
    <row r="875" spans="1:14" x14ac:dyDescent="0.4">
      <c r="A875">
        <v>874</v>
      </c>
      <c r="B875">
        <v>2014</v>
      </c>
      <c r="C875" t="s">
        <v>2327</v>
      </c>
      <c r="D875" t="str">
        <f>HYPERLINK("https://ota.tournamentsoftware.com/player-profile/F99611AC-3485-4574-897D-68151916B40D", "Link")</f>
        <v>Link</v>
      </c>
      <c r="E875" s="2">
        <v>50.011000000000003</v>
      </c>
      <c r="F875" s="3">
        <v>4</v>
      </c>
      <c r="G875" t="s">
        <v>20</v>
      </c>
      <c r="H875" t="s">
        <v>252</v>
      </c>
      <c r="I875">
        <v>35.799999999999997</v>
      </c>
      <c r="J875" s="3">
        <v>128</v>
      </c>
      <c r="K875" t="s">
        <v>2328</v>
      </c>
      <c r="L875" t="s">
        <v>1030</v>
      </c>
      <c r="M875" s="4">
        <v>0.4</v>
      </c>
      <c r="N875" s="4">
        <v>0.25</v>
      </c>
    </row>
    <row r="876" spans="1:14" x14ac:dyDescent="0.4">
      <c r="A876">
        <v>875</v>
      </c>
      <c r="B876">
        <v>2014</v>
      </c>
      <c r="C876" t="s">
        <v>2329</v>
      </c>
      <c r="D876" t="str">
        <f>HYPERLINK("https://ota.tournamentsoftware.com/player-profile/0EA6BF71-F3BF-4EA7-95F6-B80CD551F4FB", "Link")</f>
        <v>Link</v>
      </c>
      <c r="E876" s="2">
        <v>49.68</v>
      </c>
      <c r="F876" s="3">
        <v>2</v>
      </c>
      <c r="G876" t="s">
        <v>25</v>
      </c>
      <c r="H876" t="s">
        <v>60</v>
      </c>
      <c r="I876">
        <v>33.4</v>
      </c>
      <c r="J876" s="3">
        <v>126</v>
      </c>
      <c r="K876" t="s">
        <v>2330</v>
      </c>
      <c r="L876" t="s">
        <v>31</v>
      </c>
      <c r="M876" s="4">
        <v>0.61</v>
      </c>
      <c r="N876" s="4">
        <v>0</v>
      </c>
    </row>
    <row r="877" spans="1:14" x14ac:dyDescent="0.4">
      <c r="A877">
        <v>876</v>
      </c>
      <c r="B877">
        <v>2015</v>
      </c>
      <c r="C877" t="s">
        <v>2331</v>
      </c>
      <c r="D877" t="str">
        <f>HYPERLINK("https://ota.tournamentsoftware.com/player-profile/F7878057-CB20-46E1-B220-553040C8AC48", "Link")</f>
        <v>Link</v>
      </c>
      <c r="E877" s="2">
        <v>49.606000000000002</v>
      </c>
      <c r="F877" s="3">
        <v>18</v>
      </c>
      <c r="G877" t="s">
        <v>20</v>
      </c>
      <c r="H877" t="s">
        <v>900</v>
      </c>
      <c r="I877">
        <v>36.9</v>
      </c>
      <c r="J877" s="3">
        <v>79</v>
      </c>
      <c r="K877" t="s">
        <v>2332</v>
      </c>
      <c r="L877" t="s">
        <v>2333</v>
      </c>
      <c r="M877" s="4">
        <v>0.33</v>
      </c>
      <c r="N877" s="4">
        <v>0.3</v>
      </c>
    </row>
    <row r="878" spans="1:14" x14ac:dyDescent="0.4">
      <c r="A878">
        <v>877</v>
      </c>
      <c r="B878">
        <v>2015</v>
      </c>
      <c r="C878" t="s">
        <v>2334</v>
      </c>
      <c r="D878" t="str">
        <f>HYPERLINK("https://ota.tournamentsoftware.com/player-profile/8164E8EB-17A8-4270-A12B-31EFF18C9343", "Link")</f>
        <v>Link</v>
      </c>
      <c r="E878" s="2">
        <v>49.341999999999999</v>
      </c>
      <c r="F878" s="3">
        <v>16</v>
      </c>
      <c r="G878" t="s">
        <v>109</v>
      </c>
      <c r="H878" t="s">
        <v>110</v>
      </c>
      <c r="I878">
        <v>37.299999999999997</v>
      </c>
      <c r="J878" s="3">
        <v>133</v>
      </c>
      <c r="K878" t="s">
        <v>2335</v>
      </c>
      <c r="L878" t="s">
        <v>1536</v>
      </c>
      <c r="M878" s="4">
        <v>0.33</v>
      </c>
      <c r="N878" s="4">
        <v>0.44</v>
      </c>
    </row>
    <row r="879" spans="1:14" x14ac:dyDescent="0.4">
      <c r="A879">
        <v>878</v>
      </c>
      <c r="B879">
        <v>2017</v>
      </c>
      <c r="C879" t="s">
        <v>2336</v>
      </c>
      <c r="D879" t="str">
        <f>HYPERLINK("https://ota.tournamentsoftware.com/player-profile/9CFE670B-9D8C-4BC2-8DDB-1C78F17AE1FF", "Link")</f>
        <v>Link</v>
      </c>
      <c r="E879" s="2">
        <v>49.125999999999998</v>
      </c>
      <c r="F879" s="3">
        <v>3</v>
      </c>
      <c r="G879" t="s">
        <v>497</v>
      </c>
      <c r="H879" t="s">
        <v>498</v>
      </c>
      <c r="I879" t="s">
        <v>48</v>
      </c>
      <c r="J879" s="3">
        <v>20</v>
      </c>
      <c r="K879" t="s">
        <v>2337</v>
      </c>
      <c r="L879" t="s">
        <v>62</v>
      </c>
      <c r="M879" s="4">
        <v>0.75</v>
      </c>
      <c r="N879" s="4">
        <v>0.79</v>
      </c>
    </row>
    <row r="880" spans="1:14" x14ac:dyDescent="0.4">
      <c r="A880">
        <v>879</v>
      </c>
      <c r="B880">
        <v>2010</v>
      </c>
      <c r="C880" t="s">
        <v>2338</v>
      </c>
      <c r="D880" t="str">
        <f>HYPERLINK("https://ota.tournamentsoftware.com/player-profile/213B8D02-727B-42A7-947E-308EDF324F22", "Link")</f>
        <v>Link</v>
      </c>
      <c r="E880" s="2">
        <v>49.113999999999997</v>
      </c>
      <c r="F880" s="3">
        <v>1</v>
      </c>
      <c r="G880" t="s">
        <v>29</v>
      </c>
      <c r="H880" t="s">
        <v>484</v>
      </c>
      <c r="I880" t="s">
        <v>48</v>
      </c>
      <c r="J880" s="3">
        <v>19</v>
      </c>
      <c r="K880" t="s">
        <v>1323</v>
      </c>
      <c r="L880" t="s">
        <v>31</v>
      </c>
      <c r="M880" s="4">
        <v>0.32</v>
      </c>
      <c r="N880" s="4">
        <v>0</v>
      </c>
    </row>
    <row r="881" spans="1:14" x14ac:dyDescent="0.4">
      <c r="A881">
        <v>880</v>
      </c>
      <c r="B881">
        <v>2016</v>
      </c>
      <c r="C881" t="s">
        <v>2339</v>
      </c>
      <c r="D881" t="str">
        <f>HYPERLINK("https://ota.tournamentsoftware.com/player-profile/89FEB2A7-669B-4D40-A67D-54016F42DA82", "Link")</f>
        <v>Link</v>
      </c>
      <c r="E881" s="2">
        <v>48.859000000000002</v>
      </c>
      <c r="F881" s="3">
        <v>14</v>
      </c>
      <c r="G881" t="s">
        <v>29</v>
      </c>
      <c r="H881" t="s">
        <v>686</v>
      </c>
      <c r="I881">
        <v>34.700000000000003</v>
      </c>
      <c r="J881" s="3">
        <v>95</v>
      </c>
      <c r="K881" t="s">
        <v>2340</v>
      </c>
      <c r="L881" t="s">
        <v>451</v>
      </c>
      <c r="M881" s="4">
        <v>0.63</v>
      </c>
      <c r="N881" s="4">
        <v>0.6</v>
      </c>
    </row>
    <row r="882" spans="1:14" x14ac:dyDescent="0.4">
      <c r="A882">
        <v>881</v>
      </c>
      <c r="B882">
        <v>2014</v>
      </c>
      <c r="C882" t="s">
        <v>2341</v>
      </c>
      <c r="D882" t="str">
        <f>HYPERLINK("https://ota.tournamentsoftware.com/player-profile/39929D79-FF7E-4461-9561-38C5D88AE666", "Link")</f>
        <v>Link</v>
      </c>
      <c r="E882" s="2">
        <v>48.716000000000001</v>
      </c>
      <c r="F882" s="3">
        <v>5</v>
      </c>
      <c r="G882" t="s">
        <v>25</v>
      </c>
      <c r="H882" t="s">
        <v>95</v>
      </c>
      <c r="I882">
        <v>36.200000000000003</v>
      </c>
      <c r="J882" s="3">
        <v>72</v>
      </c>
      <c r="K882" t="s">
        <v>2342</v>
      </c>
      <c r="L882" t="s">
        <v>1284</v>
      </c>
      <c r="M882" s="4">
        <v>0.43</v>
      </c>
      <c r="N882" s="4">
        <v>0.33</v>
      </c>
    </row>
    <row r="883" spans="1:14" x14ac:dyDescent="0.4">
      <c r="A883">
        <v>882</v>
      </c>
      <c r="B883">
        <v>2010</v>
      </c>
      <c r="C883" t="s">
        <v>2343</v>
      </c>
      <c r="D883" t="str">
        <f>HYPERLINK("https://ota.tournamentsoftware.com/player-profile/AFF62707-F6A2-405E-896A-D8E756FAF0ED", "Link")</f>
        <v>Link</v>
      </c>
      <c r="E883" s="2">
        <v>48.6</v>
      </c>
      <c r="F883" s="3">
        <v>1</v>
      </c>
      <c r="G883" t="s">
        <v>20</v>
      </c>
      <c r="H883" t="s">
        <v>2344</v>
      </c>
      <c r="I883">
        <v>27.6</v>
      </c>
      <c r="J883" s="3">
        <v>271</v>
      </c>
      <c r="K883" t="s">
        <v>2345</v>
      </c>
      <c r="L883" t="s">
        <v>1978</v>
      </c>
      <c r="M883" s="4">
        <v>0.56000000000000005</v>
      </c>
      <c r="N883" s="4">
        <v>0.67</v>
      </c>
    </row>
    <row r="884" spans="1:14" x14ac:dyDescent="0.4">
      <c r="A884">
        <v>883</v>
      </c>
      <c r="B884">
        <v>2015</v>
      </c>
      <c r="C884" t="s">
        <v>2346</v>
      </c>
      <c r="D884" t="str">
        <f>HYPERLINK("https://ota.tournamentsoftware.com/player-profile/FC173056-E1A0-4194-9722-D15B8524262F", "Link")</f>
        <v>Link</v>
      </c>
      <c r="E884" s="2">
        <v>48.555999999999997</v>
      </c>
      <c r="F884" s="3">
        <v>6</v>
      </c>
      <c r="G884" t="s">
        <v>29</v>
      </c>
      <c r="H884" t="s">
        <v>277</v>
      </c>
      <c r="I884">
        <v>36.700000000000003</v>
      </c>
      <c r="J884" s="3">
        <v>81</v>
      </c>
      <c r="K884" t="s">
        <v>2347</v>
      </c>
      <c r="L884" t="s">
        <v>1147</v>
      </c>
      <c r="M884" s="4">
        <v>0.59</v>
      </c>
      <c r="N884" s="4">
        <v>0.36</v>
      </c>
    </row>
    <row r="885" spans="1:14" x14ac:dyDescent="0.4">
      <c r="A885">
        <v>884</v>
      </c>
      <c r="B885">
        <v>2015</v>
      </c>
      <c r="C885" t="s">
        <v>2348</v>
      </c>
      <c r="D885" t="str">
        <f>HYPERLINK("https://ota.tournamentsoftware.com/player-profile/4C52D449-95CA-49A9-B524-B01117EAD86C", "Link")</f>
        <v>Link</v>
      </c>
      <c r="E885" s="2">
        <v>48.55</v>
      </c>
      <c r="F885" s="3">
        <v>10</v>
      </c>
      <c r="G885" t="s">
        <v>29</v>
      </c>
      <c r="H885" t="s">
        <v>323</v>
      </c>
      <c r="I885">
        <v>37.299999999999997</v>
      </c>
      <c r="J885" s="3">
        <v>43</v>
      </c>
      <c r="K885" t="s">
        <v>1402</v>
      </c>
      <c r="L885" t="s">
        <v>2349</v>
      </c>
      <c r="M885" s="4">
        <v>0.51</v>
      </c>
      <c r="N885" s="4">
        <v>0.28000000000000003</v>
      </c>
    </row>
    <row r="886" spans="1:14" x14ac:dyDescent="0.4">
      <c r="A886">
        <v>885</v>
      </c>
      <c r="B886">
        <v>2015</v>
      </c>
      <c r="C886" t="s">
        <v>2350</v>
      </c>
      <c r="D886" t="str">
        <f>HYPERLINK("https://ota.tournamentsoftware.com/player-profile/19F5DCB9-D4C1-477E-9443-DA276E9A30BC", "Link")</f>
        <v>Link</v>
      </c>
      <c r="E886" s="2">
        <v>48.438000000000002</v>
      </c>
      <c r="F886" s="3">
        <v>4</v>
      </c>
      <c r="G886" t="s">
        <v>25</v>
      </c>
      <c r="H886" t="s">
        <v>16</v>
      </c>
      <c r="I886">
        <v>40</v>
      </c>
      <c r="J886" s="3">
        <v>8</v>
      </c>
      <c r="K886" t="s">
        <v>1324</v>
      </c>
      <c r="L886" t="s">
        <v>1324</v>
      </c>
      <c r="M886" s="4">
        <v>0.12</v>
      </c>
      <c r="N886" s="4">
        <v>0.12</v>
      </c>
    </row>
    <row r="887" spans="1:14" x14ac:dyDescent="0.4">
      <c r="A887">
        <v>886</v>
      </c>
      <c r="B887">
        <v>2014</v>
      </c>
      <c r="C887" t="s">
        <v>2351</v>
      </c>
      <c r="D887" t="str">
        <f>HYPERLINK("https://ota.tournamentsoftware.com/player-profile/37DD9223-BE00-45F7-9DE9-3EA92F74CD7B", "Link")</f>
        <v>Link</v>
      </c>
      <c r="E887" s="2">
        <v>48.420999999999999</v>
      </c>
      <c r="F887" s="3">
        <v>15</v>
      </c>
      <c r="G887" t="s">
        <v>29</v>
      </c>
      <c r="H887" t="s">
        <v>199</v>
      </c>
      <c r="I887">
        <v>38.700000000000003</v>
      </c>
      <c r="J887" s="3">
        <v>92</v>
      </c>
      <c r="K887" t="s">
        <v>2352</v>
      </c>
      <c r="L887" t="s">
        <v>622</v>
      </c>
      <c r="M887" s="4">
        <v>0.27</v>
      </c>
      <c r="N887" s="4">
        <v>0.33</v>
      </c>
    </row>
    <row r="888" spans="1:14" x14ac:dyDescent="0.4">
      <c r="A888">
        <v>887</v>
      </c>
      <c r="B888">
        <v>2013</v>
      </c>
      <c r="C888" t="s">
        <v>2353</v>
      </c>
      <c r="D888" t="str">
        <f>HYPERLINK("https://ota.tournamentsoftware.com/player-profile/93D03535-4A4B-4898-A531-8F0DB9BA8BD8", "Link")</f>
        <v>Link</v>
      </c>
      <c r="E888" s="2">
        <v>48.152999999999999</v>
      </c>
      <c r="F888" s="3">
        <v>2</v>
      </c>
      <c r="G888" t="s">
        <v>369</v>
      </c>
      <c r="H888" t="s">
        <v>370</v>
      </c>
      <c r="I888" t="s">
        <v>48</v>
      </c>
      <c r="J888" s="3">
        <v>21</v>
      </c>
      <c r="K888" t="s">
        <v>1211</v>
      </c>
      <c r="L888" t="s">
        <v>2301</v>
      </c>
      <c r="M888" s="4">
        <v>0.43</v>
      </c>
      <c r="N888" s="4">
        <v>0.38</v>
      </c>
    </row>
    <row r="889" spans="1:14" x14ac:dyDescent="0.4">
      <c r="A889">
        <v>888</v>
      </c>
      <c r="B889">
        <v>2010</v>
      </c>
      <c r="C889" t="s">
        <v>2354</v>
      </c>
      <c r="D889" t="str">
        <f>HYPERLINK("https://ota.tournamentsoftware.com/player-profile/FF59754F-71B5-49E5-94BE-3C16879D1B34", "Link")</f>
        <v>Link</v>
      </c>
      <c r="E889" s="2">
        <v>47.956000000000003</v>
      </c>
      <c r="F889" s="3">
        <v>4</v>
      </c>
      <c r="G889" t="s">
        <v>109</v>
      </c>
      <c r="H889" t="s">
        <v>2355</v>
      </c>
      <c r="I889">
        <v>35.5</v>
      </c>
      <c r="J889" s="3">
        <v>51</v>
      </c>
      <c r="K889" t="s">
        <v>2356</v>
      </c>
      <c r="L889" t="s">
        <v>1524</v>
      </c>
      <c r="M889" s="4">
        <v>0.16</v>
      </c>
      <c r="N889" s="4">
        <v>0</v>
      </c>
    </row>
    <row r="890" spans="1:14" x14ac:dyDescent="0.4">
      <c r="A890">
        <v>889</v>
      </c>
      <c r="B890">
        <v>2012</v>
      </c>
      <c r="C890" t="s">
        <v>2357</v>
      </c>
      <c r="D890" t="str">
        <f>HYPERLINK("https://ota.tournamentsoftware.com/player-profile/84E488EE-ABCE-4936-AC77-DCF33DA7BE52", "Link")</f>
        <v>Link</v>
      </c>
      <c r="E890" s="2">
        <v>47.579000000000001</v>
      </c>
      <c r="F890" s="3">
        <v>2</v>
      </c>
      <c r="G890" t="s">
        <v>20</v>
      </c>
      <c r="H890" t="s">
        <v>919</v>
      </c>
      <c r="I890">
        <v>32.299999999999997</v>
      </c>
      <c r="J890" s="3">
        <v>164</v>
      </c>
      <c r="K890" t="s">
        <v>2358</v>
      </c>
      <c r="L890" t="s">
        <v>523</v>
      </c>
      <c r="M890" s="4">
        <v>0.48</v>
      </c>
      <c r="N890" s="4">
        <v>0.5</v>
      </c>
    </row>
    <row r="891" spans="1:14" x14ac:dyDescent="0.4">
      <c r="A891">
        <v>890</v>
      </c>
      <c r="B891">
        <v>2016</v>
      </c>
      <c r="C891" t="s">
        <v>2359</v>
      </c>
      <c r="D891" t="str">
        <f>HYPERLINK("https://ota.tournamentsoftware.com/player-profile/8B630DA5-F61E-4159-9316-7EA463790908", "Link")</f>
        <v>Link</v>
      </c>
      <c r="E891" s="2">
        <v>47.448</v>
      </c>
      <c r="F891" s="3">
        <v>10</v>
      </c>
      <c r="G891" t="s">
        <v>29</v>
      </c>
      <c r="H891" t="s">
        <v>1779</v>
      </c>
      <c r="I891">
        <v>35.9</v>
      </c>
      <c r="J891" s="3">
        <v>99</v>
      </c>
      <c r="K891" t="s">
        <v>2360</v>
      </c>
      <c r="L891" t="s">
        <v>2361</v>
      </c>
      <c r="M891" s="4">
        <v>0.59</v>
      </c>
      <c r="N891" s="4">
        <v>0.6</v>
      </c>
    </row>
    <row r="892" spans="1:14" x14ac:dyDescent="0.4">
      <c r="A892">
        <v>891</v>
      </c>
      <c r="B892">
        <v>2013</v>
      </c>
      <c r="C892" t="s">
        <v>2362</v>
      </c>
      <c r="D892" t="str">
        <f>HYPERLINK("https://ota.tournamentsoftware.com/player-profile/E8620DEC-5B72-4D85-9171-1F914B105E62", "Link")</f>
        <v>Link</v>
      </c>
      <c r="E892" s="2">
        <v>47.109000000000002</v>
      </c>
      <c r="F892" s="3">
        <v>5</v>
      </c>
      <c r="G892" t="s">
        <v>20</v>
      </c>
      <c r="H892" t="s">
        <v>33</v>
      </c>
      <c r="I892">
        <v>39.6</v>
      </c>
      <c r="J892" s="3">
        <v>43</v>
      </c>
      <c r="K892" t="s">
        <v>2363</v>
      </c>
      <c r="L892" t="s">
        <v>1706</v>
      </c>
      <c r="M892" s="4">
        <v>0.21</v>
      </c>
      <c r="N892" s="4">
        <v>0</v>
      </c>
    </row>
    <row r="893" spans="1:14" x14ac:dyDescent="0.4">
      <c r="A893">
        <v>892</v>
      </c>
      <c r="B893">
        <v>2014</v>
      </c>
      <c r="C893" t="s">
        <v>2364</v>
      </c>
      <c r="D893" t="str">
        <f>HYPERLINK("https://ota.tournamentsoftware.com/player-profile/552DF1FC-65F6-48FE-8B31-884C1DC273DB", "Link")</f>
        <v>Link</v>
      </c>
      <c r="E893" s="2">
        <v>45.515999999999998</v>
      </c>
      <c r="F893" s="3">
        <v>16</v>
      </c>
      <c r="G893" t="s">
        <v>20</v>
      </c>
      <c r="H893" t="s">
        <v>33</v>
      </c>
      <c r="I893">
        <v>37.1</v>
      </c>
      <c r="J893" s="3">
        <v>43</v>
      </c>
      <c r="K893" t="s">
        <v>2365</v>
      </c>
      <c r="L893" t="s">
        <v>2366</v>
      </c>
      <c r="M893" s="4">
        <v>0.33</v>
      </c>
      <c r="N893" s="4">
        <v>0.33</v>
      </c>
    </row>
    <row r="894" spans="1:14" x14ac:dyDescent="0.4">
      <c r="A894">
        <v>893</v>
      </c>
      <c r="B894">
        <v>2017</v>
      </c>
      <c r="C894" t="s">
        <v>2367</v>
      </c>
      <c r="D894" t="str">
        <f>HYPERLINK("https://ota.tournamentsoftware.com/player-profile/3B36D99D-C9E7-48A2-BC06-6AD3725AC12E", "Link")</f>
        <v>Link</v>
      </c>
      <c r="E894" s="2">
        <v>45.015999999999998</v>
      </c>
      <c r="F894" s="3">
        <v>15</v>
      </c>
      <c r="G894" t="s">
        <v>109</v>
      </c>
      <c r="H894" t="s">
        <v>281</v>
      </c>
      <c r="I894">
        <v>34.6</v>
      </c>
      <c r="J894" s="3">
        <v>201</v>
      </c>
      <c r="K894" t="s">
        <v>2368</v>
      </c>
      <c r="L894" t="s">
        <v>115</v>
      </c>
      <c r="M894" s="4">
        <v>0.53</v>
      </c>
      <c r="N894" s="4">
        <v>0.63</v>
      </c>
    </row>
    <row r="895" spans="1:14" x14ac:dyDescent="0.4">
      <c r="A895">
        <v>894</v>
      </c>
      <c r="B895">
        <v>2015</v>
      </c>
      <c r="C895" t="s">
        <v>2369</v>
      </c>
      <c r="D895" t="str">
        <f>HYPERLINK("https://ota.tournamentsoftware.com/player-profile/1FF4FA2D-412B-4E4A-AE72-948C7BC68D73", "Link")</f>
        <v>Link</v>
      </c>
      <c r="E895" s="2">
        <v>44.956000000000003</v>
      </c>
      <c r="F895" s="3">
        <v>10</v>
      </c>
      <c r="G895" t="s">
        <v>29</v>
      </c>
      <c r="H895" t="s">
        <v>52</v>
      </c>
      <c r="I895">
        <v>37.1</v>
      </c>
      <c r="J895" s="3">
        <v>94</v>
      </c>
      <c r="K895" t="s">
        <v>2370</v>
      </c>
      <c r="L895" t="s">
        <v>1292</v>
      </c>
      <c r="M895" s="4">
        <v>0.43</v>
      </c>
      <c r="N895" s="4">
        <v>0.31</v>
      </c>
    </row>
    <row r="896" spans="1:14" x14ac:dyDescent="0.4">
      <c r="A896">
        <v>895</v>
      </c>
      <c r="B896">
        <v>2015</v>
      </c>
      <c r="C896" t="s">
        <v>2371</v>
      </c>
      <c r="D896" t="str">
        <f>HYPERLINK("https://ota.tournamentsoftware.com/player-profile/6381808D-332A-4694-9A60-DD4214A2A2F0", "Link")</f>
        <v>Link</v>
      </c>
      <c r="E896" s="2">
        <v>44.713000000000001</v>
      </c>
      <c r="F896" s="3">
        <v>8</v>
      </c>
      <c r="G896" t="s">
        <v>29</v>
      </c>
      <c r="H896" t="s">
        <v>103</v>
      </c>
      <c r="I896">
        <v>39.700000000000003</v>
      </c>
      <c r="J896" s="3">
        <v>19</v>
      </c>
      <c r="K896" t="s">
        <v>2210</v>
      </c>
      <c r="L896" t="s">
        <v>2195</v>
      </c>
      <c r="M896" s="4">
        <v>0.21</v>
      </c>
      <c r="N896" s="4">
        <v>0</v>
      </c>
    </row>
    <row r="897" spans="1:14" x14ac:dyDescent="0.4">
      <c r="A897">
        <v>896</v>
      </c>
      <c r="B897">
        <v>2015</v>
      </c>
      <c r="C897" t="s">
        <v>2372</v>
      </c>
      <c r="D897" t="str">
        <f>HYPERLINK("https://ota.tournamentsoftware.com/player-profile/C2079715-4A8A-4F16-A5F2-10633FCB08AA", "Link")</f>
        <v>Link</v>
      </c>
      <c r="E897" s="2">
        <v>44.664999999999999</v>
      </c>
      <c r="F897" s="3">
        <v>5</v>
      </c>
      <c r="G897" t="s">
        <v>29</v>
      </c>
      <c r="H897" t="s">
        <v>199</v>
      </c>
      <c r="I897" t="s">
        <v>48</v>
      </c>
      <c r="J897" s="3">
        <v>76</v>
      </c>
      <c r="K897" t="s">
        <v>2252</v>
      </c>
      <c r="L897" t="s">
        <v>2301</v>
      </c>
      <c r="M897" s="4">
        <v>0.45</v>
      </c>
      <c r="N897" s="4">
        <v>0.38</v>
      </c>
    </row>
    <row r="898" spans="1:14" x14ac:dyDescent="0.4">
      <c r="A898">
        <v>897</v>
      </c>
      <c r="B898">
        <v>2011</v>
      </c>
      <c r="C898" t="s">
        <v>2373</v>
      </c>
      <c r="D898" t="str">
        <f>HYPERLINK("https://ota.tournamentsoftware.com/player-profile/F961AE47-3367-4F78-8A89-DB52A3FCF997", "Link")</f>
        <v>Link</v>
      </c>
      <c r="E898" s="2">
        <v>44.16</v>
      </c>
      <c r="F898" s="3">
        <v>3</v>
      </c>
      <c r="G898" t="s">
        <v>25</v>
      </c>
      <c r="H898" t="s">
        <v>2374</v>
      </c>
      <c r="I898">
        <v>33.799999999999997</v>
      </c>
      <c r="J898" s="3">
        <v>54</v>
      </c>
      <c r="K898" t="s">
        <v>1953</v>
      </c>
      <c r="L898" t="s">
        <v>31</v>
      </c>
      <c r="M898" s="4">
        <v>0.5</v>
      </c>
      <c r="N898" s="4">
        <v>0</v>
      </c>
    </row>
    <row r="899" spans="1:14" x14ac:dyDescent="0.4">
      <c r="A899">
        <v>898</v>
      </c>
      <c r="B899">
        <v>2014</v>
      </c>
      <c r="C899" t="s">
        <v>2375</v>
      </c>
      <c r="D899" t="str">
        <f>HYPERLINK("https://ota.tournamentsoftware.com/player-profile/1F978CA6-97AC-4A84-BBEB-B431DDD9A28B", "Link")</f>
        <v>Link</v>
      </c>
      <c r="E899" s="2">
        <v>43.73</v>
      </c>
      <c r="F899" s="3">
        <v>11</v>
      </c>
      <c r="G899" t="s">
        <v>109</v>
      </c>
      <c r="H899" t="s">
        <v>387</v>
      </c>
      <c r="I899">
        <v>35.299999999999997</v>
      </c>
      <c r="J899" s="3">
        <v>45</v>
      </c>
      <c r="K899" t="s">
        <v>2376</v>
      </c>
      <c r="L899" t="s">
        <v>1895</v>
      </c>
      <c r="M899" s="4">
        <v>0.28999999999999998</v>
      </c>
      <c r="N899" s="4">
        <v>0.4</v>
      </c>
    </row>
    <row r="900" spans="1:14" x14ac:dyDescent="0.4">
      <c r="A900">
        <v>899</v>
      </c>
      <c r="B900">
        <v>2013</v>
      </c>
      <c r="C900" t="s">
        <v>2377</v>
      </c>
      <c r="D900" t="str">
        <f>HYPERLINK("https://ota.tournamentsoftware.com/player-profile/13408327-82EC-4D4E-B3D1-9FA084C53782", "Link")</f>
        <v>Link</v>
      </c>
      <c r="E900" s="2">
        <v>43.33</v>
      </c>
      <c r="F900" s="3">
        <v>3</v>
      </c>
      <c r="G900" t="s">
        <v>29</v>
      </c>
      <c r="H900" t="s">
        <v>163</v>
      </c>
      <c r="I900">
        <v>39.9</v>
      </c>
      <c r="J900" s="3">
        <v>19</v>
      </c>
      <c r="K900" t="s">
        <v>2378</v>
      </c>
      <c r="L900" t="s">
        <v>2378</v>
      </c>
      <c r="M900" s="4">
        <v>0.11</v>
      </c>
      <c r="N900" s="4">
        <v>0.11</v>
      </c>
    </row>
    <row r="901" spans="1:14" x14ac:dyDescent="0.4">
      <c r="A901">
        <v>900</v>
      </c>
      <c r="B901">
        <v>2012</v>
      </c>
      <c r="C901" t="s">
        <v>2379</v>
      </c>
      <c r="D901" t="str">
        <f>HYPERLINK("https://ota.tournamentsoftware.com/player-profile/E0201B38-AEE1-4BAC-B0FB-FA389A1FFEA8", "Link")</f>
        <v>Link</v>
      </c>
      <c r="E901" s="2">
        <v>43.271999999999998</v>
      </c>
      <c r="F901" s="3">
        <v>2</v>
      </c>
      <c r="G901" t="s">
        <v>29</v>
      </c>
      <c r="H901" t="s">
        <v>2380</v>
      </c>
      <c r="I901" t="s">
        <v>48</v>
      </c>
      <c r="J901" s="3">
        <v>35</v>
      </c>
      <c r="K901" t="s">
        <v>1229</v>
      </c>
      <c r="L901" t="s">
        <v>523</v>
      </c>
      <c r="M901" s="4">
        <v>0.37</v>
      </c>
      <c r="N901" s="4">
        <v>0.5</v>
      </c>
    </row>
    <row r="902" spans="1:14" x14ac:dyDescent="0.4">
      <c r="A902">
        <v>901</v>
      </c>
      <c r="B902">
        <v>2012</v>
      </c>
      <c r="C902" t="s">
        <v>2381</v>
      </c>
      <c r="D902" t="str">
        <f>HYPERLINK("https://ota.tournamentsoftware.com/player-profile/F697AB49-11E9-42EF-B0E6-5DF0E77AF99C", "Link")</f>
        <v>Link</v>
      </c>
      <c r="E902" s="2">
        <v>43.225999999999999</v>
      </c>
      <c r="F902" s="3">
        <v>5</v>
      </c>
      <c r="G902" t="s">
        <v>25</v>
      </c>
      <c r="H902" t="s">
        <v>1109</v>
      </c>
      <c r="I902">
        <v>39.700000000000003</v>
      </c>
      <c r="J902" s="3">
        <v>22</v>
      </c>
      <c r="K902" t="s">
        <v>2382</v>
      </c>
      <c r="L902" t="s">
        <v>1721</v>
      </c>
      <c r="M902" s="4">
        <v>0.05</v>
      </c>
      <c r="N902" s="4">
        <v>0</v>
      </c>
    </row>
    <row r="903" spans="1:14" x14ac:dyDescent="0.4">
      <c r="A903">
        <v>902</v>
      </c>
      <c r="B903">
        <v>2011</v>
      </c>
      <c r="C903" t="s">
        <v>2383</v>
      </c>
      <c r="D903" t="str">
        <f>HYPERLINK("https://ota.tournamentsoftware.com/player-profile/EFC2211F-5415-4686-B06A-659BF3A8686D", "Link")</f>
        <v>Link</v>
      </c>
      <c r="E903" s="2">
        <v>42.84</v>
      </c>
      <c r="F903" s="3">
        <v>1</v>
      </c>
      <c r="G903" t="s">
        <v>29</v>
      </c>
      <c r="H903" t="s">
        <v>2384</v>
      </c>
      <c r="I903">
        <v>33.9</v>
      </c>
      <c r="J903" s="3">
        <v>11</v>
      </c>
      <c r="K903" t="s">
        <v>2385</v>
      </c>
      <c r="L903" t="s">
        <v>139</v>
      </c>
      <c r="M903" s="4">
        <v>0.55000000000000004</v>
      </c>
      <c r="N903" s="4">
        <v>0.62</v>
      </c>
    </row>
    <row r="904" spans="1:14" x14ac:dyDescent="0.4">
      <c r="A904">
        <v>903</v>
      </c>
      <c r="B904">
        <v>2013</v>
      </c>
      <c r="C904" t="s">
        <v>2386</v>
      </c>
      <c r="D904" t="str">
        <f>HYPERLINK("https://ota.tournamentsoftware.com/player-profile/8434E356-BD3E-4FDA-9513-46F335FD471C", "Link")</f>
        <v>Link</v>
      </c>
      <c r="E904" s="2">
        <v>42.618000000000002</v>
      </c>
      <c r="F904" s="3">
        <v>6</v>
      </c>
      <c r="G904" t="s">
        <v>29</v>
      </c>
      <c r="H904" t="s">
        <v>1689</v>
      </c>
      <c r="I904" t="s">
        <v>48</v>
      </c>
      <c r="J904" s="3">
        <v>18</v>
      </c>
      <c r="K904" t="s">
        <v>2387</v>
      </c>
      <c r="L904" t="s">
        <v>1030</v>
      </c>
      <c r="M904" s="4">
        <v>0.22</v>
      </c>
      <c r="N904" s="4">
        <v>0.25</v>
      </c>
    </row>
    <row r="905" spans="1:14" x14ac:dyDescent="0.4">
      <c r="A905">
        <v>904</v>
      </c>
      <c r="B905">
        <v>2010</v>
      </c>
      <c r="C905" t="s">
        <v>2388</v>
      </c>
      <c r="D905" t="str">
        <f>HYPERLINK("https://ota.tournamentsoftware.com/player-profile/089CD135-3C35-4A51-9018-D88486AADA01", "Link")</f>
        <v>Link</v>
      </c>
      <c r="E905" s="2">
        <v>42.363</v>
      </c>
      <c r="F905" s="3">
        <v>1</v>
      </c>
      <c r="G905" t="s">
        <v>29</v>
      </c>
      <c r="H905" t="s">
        <v>391</v>
      </c>
      <c r="I905" t="s">
        <v>48</v>
      </c>
      <c r="J905" s="3">
        <v>1</v>
      </c>
      <c r="K905" t="s">
        <v>433</v>
      </c>
      <c r="L905" t="s">
        <v>31</v>
      </c>
      <c r="M905" s="4">
        <v>0</v>
      </c>
      <c r="N905" s="4">
        <v>0</v>
      </c>
    </row>
    <row r="906" spans="1:14" x14ac:dyDescent="0.4">
      <c r="A906">
        <v>905</v>
      </c>
      <c r="B906">
        <v>2014</v>
      </c>
      <c r="C906" t="s">
        <v>2389</v>
      </c>
      <c r="D906" t="str">
        <f>HYPERLINK("https://ota.tournamentsoftware.com/player-profile/C734CB2A-2E7E-46C5-B1F0-69D754EF8527", "Link")</f>
        <v>Link</v>
      </c>
      <c r="E906" s="2">
        <v>42.328000000000003</v>
      </c>
      <c r="F906" s="3">
        <v>11</v>
      </c>
      <c r="G906" t="s">
        <v>25</v>
      </c>
      <c r="H906" t="s">
        <v>16</v>
      </c>
      <c r="I906" t="s">
        <v>48</v>
      </c>
      <c r="J906" s="3">
        <v>22</v>
      </c>
      <c r="K906" t="s">
        <v>2213</v>
      </c>
      <c r="L906" t="s">
        <v>2213</v>
      </c>
      <c r="M906" s="4">
        <v>0.45</v>
      </c>
      <c r="N906" s="4">
        <v>0.45</v>
      </c>
    </row>
    <row r="907" spans="1:14" x14ac:dyDescent="0.4">
      <c r="A907">
        <v>906</v>
      </c>
      <c r="B907">
        <v>2012</v>
      </c>
      <c r="C907" t="s">
        <v>2390</v>
      </c>
      <c r="D907" t="str">
        <f>HYPERLINK("https://ota.tournamentsoftware.com/player-profile/51407A91-7051-4BC3-B583-F0DC1E06E113", "Link")</f>
        <v>Link</v>
      </c>
      <c r="E907" s="2">
        <v>42.274000000000001</v>
      </c>
      <c r="F907" s="3">
        <v>4</v>
      </c>
      <c r="G907" t="s">
        <v>29</v>
      </c>
      <c r="H907" t="s">
        <v>1068</v>
      </c>
      <c r="I907" t="s">
        <v>48</v>
      </c>
      <c r="J907" s="3">
        <v>13</v>
      </c>
      <c r="K907" t="s">
        <v>2094</v>
      </c>
      <c r="L907" t="s">
        <v>2094</v>
      </c>
      <c r="M907" s="4">
        <v>0.23</v>
      </c>
      <c r="N907" s="4">
        <v>0.23</v>
      </c>
    </row>
    <row r="908" spans="1:14" x14ac:dyDescent="0.4">
      <c r="A908">
        <v>907</v>
      </c>
      <c r="B908">
        <v>2015</v>
      </c>
      <c r="C908" t="s">
        <v>2391</v>
      </c>
      <c r="D908" t="str">
        <f>HYPERLINK("https://ota.tournamentsoftware.com/player-profile/1573DFB3-8189-4CE9-AAAC-9ADF1738AD9C", "Link")</f>
        <v>Link</v>
      </c>
      <c r="E908" s="2">
        <v>41.917000000000002</v>
      </c>
      <c r="F908" s="3">
        <v>7</v>
      </c>
      <c r="G908" t="s">
        <v>29</v>
      </c>
      <c r="H908" t="s">
        <v>199</v>
      </c>
      <c r="I908">
        <v>36.700000000000003</v>
      </c>
      <c r="J908" s="3">
        <v>95</v>
      </c>
      <c r="K908" t="s">
        <v>2392</v>
      </c>
      <c r="L908" t="s">
        <v>1097</v>
      </c>
      <c r="M908" s="4">
        <v>0.43</v>
      </c>
      <c r="N908" s="4">
        <v>0.36</v>
      </c>
    </row>
    <row r="909" spans="1:14" x14ac:dyDescent="0.4">
      <c r="A909">
        <v>908</v>
      </c>
      <c r="B909">
        <v>2014</v>
      </c>
      <c r="C909" t="s">
        <v>2393</v>
      </c>
      <c r="D909" t="str">
        <f>HYPERLINK("https://ota.tournamentsoftware.com/player-profile/B25C8E1B-DD5B-45CB-A94E-27B9E436CCF5", "Link")</f>
        <v>Link</v>
      </c>
      <c r="E909" s="2">
        <v>41.902999999999999</v>
      </c>
      <c r="F909" s="3">
        <v>5</v>
      </c>
      <c r="G909" t="s">
        <v>29</v>
      </c>
      <c r="H909" t="s">
        <v>2394</v>
      </c>
      <c r="I909" t="s">
        <v>48</v>
      </c>
      <c r="J909" s="3">
        <v>59</v>
      </c>
      <c r="K909" t="s">
        <v>1377</v>
      </c>
      <c r="L909" t="s">
        <v>1270</v>
      </c>
      <c r="M909" s="4">
        <v>0.53</v>
      </c>
      <c r="N909" s="4">
        <v>0.6</v>
      </c>
    </row>
    <row r="910" spans="1:14" x14ac:dyDescent="0.4">
      <c r="A910">
        <v>909</v>
      </c>
      <c r="B910">
        <v>2013</v>
      </c>
      <c r="C910" t="s">
        <v>2395</v>
      </c>
      <c r="D910" t="str">
        <f>HYPERLINK("https://ota.tournamentsoftware.com/player-profile/7011B5E4-06D4-4830-95A3-18CF46BE4ED0", "Link")</f>
        <v>Link</v>
      </c>
      <c r="E910" s="2">
        <v>41.83</v>
      </c>
      <c r="F910" s="3">
        <v>2</v>
      </c>
      <c r="G910" t="s">
        <v>29</v>
      </c>
      <c r="H910" t="s">
        <v>141</v>
      </c>
      <c r="I910" t="s">
        <v>48</v>
      </c>
      <c r="J910" s="3">
        <v>23</v>
      </c>
      <c r="K910" t="s">
        <v>889</v>
      </c>
      <c r="L910" t="s">
        <v>1057</v>
      </c>
      <c r="M910" s="4">
        <v>0.35</v>
      </c>
      <c r="N910" s="4">
        <v>0.47</v>
      </c>
    </row>
    <row r="911" spans="1:14" x14ac:dyDescent="0.4">
      <c r="A911">
        <v>910</v>
      </c>
      <c r="B911">
        <v>2014</v>
      </c>
      <c r="C911" t="s">
        <v>2396</v>
      </c>
      <c r="D911" t="str">
        <f>HYPERLINK("https://ota.tournamentsoftware.com/player-profile/7105A5E6-611D-4531-9016-F7FBEE3F6368", "Link")</f>
        <v>Link</v>
      </c>
      <c r="E911" s="2">
        <v>41.56</v>
      </c>
      <c r="F911" s="3">
        <v>6</v>
      </c>
      <c r="G911" t="s">
        <v>29</v>
      </c>
      <c r="H911" t="s">
        <v>2384</v>
      </c>
      <c r="I911">
        <v>37</v>
      </c>
      <c r="J911" s="3">
        <v>61</v>
      </c>
      <c r="K911" t="s">
        <v>2397</v>
      </c>
      <c r="L911" t="s">
        <v>2398</v>
      </c>
      <c r="M911" s="4">
        <v>0.56000000000000005</v>
      </c>
      <c r="N911" s="4">
        <v>0.44</v>
      </c>
    </row>
    <row r="912" spans="1:14" x14ac:dyDescent="0.4">
      <c r="A912">
        <v>911</v>
      </c>
      <c r="B912">
        <v>2011</v>
      </c>
      <c r="C912" t="s">
        <v>2399</v>
      </c>
      <c r="D912" t="str">
        <f>HYPERLINK("https://ota.tournamentsoftware.com/player-profile/46F9B58B-68E5-4D9C-ADC1-680DBAFF0CBB", "Link")</f>
        <v>Link</v>
      </c>
      <c r="E912" s="2">
        <v>41.393000000000001</v>
      </c>
      <c r="F912" s="3">
        <v>2</v>
      </c>
      <c r="G912" t="s">
        <v>20</v>
      </c>
      <c r="H912" t="s">
        <v>16</v>
      </c>
      <c r="I912">
        <v>36.9</v>
      </c>
      <c r="J912" s="3">
        <v>4</v>
      </c>
      <c r="K912" t="s">
        <v>879</v>
      </c>
      <c r="L912" t="s">
        <v>879</v>
      </c>
      <c r="M912" s="4">
        <v>0</v>
      </c>
      <c r="N912" s="4">
        <v>0</v>
      </c>
    </row>
    <row r="913" spans="1:14" x14ac:dyDescent="0.4">
      <c r="A913">
        <v>912</v>
      </c>
      <c r="B913">
        <v>2017</v>
      </c>
      <c r="C913" t="s">
        <v>2400</v>
      </c>
      <c r="D913" t="str">
        <f>HYPERLINK("https://ota.tournamentsoftware.com/player-profile/7C30BE00-7F15-42B9-BA96-B3B2895898A0", "Link")</f>
        <v>Link</v>
      </c>
      <c r="E913" s="2">
        <v>41.345999999999997</v>
      </c>
      <c r="F913" s="3">
        <v>8</v>
      </c>
      <c r="G913" t="s">
        <v>109</v>
      </c>
      <c r="H913" t="s">
        <v>110</v>
      </c>
      <c r="I913">
        <v>34.1</v>
      </c>
      <c r="J913" s="3">
        <v>123</v>
      </c>
      <c r="K913" t="s">
        <v>2401</v>
      </c>
      <c r="L913" t="s">
        <v>2402</v>
      </c>
      <c r="M913" s="4">
        <v>0.76</v>
      </c>
      <c r="N913" s="4">
        <v>0.87</v>
      </c>
    </row>
    <row r="914" spans="1:14" x14ac:dyDescent="0.4">
      <c r="A914">
        <v>913</v>
      </c>
      <c r="B914">
        <v>2015</v>
      </c>
      <c r="C914" t="s">
        <v>2403</v>
      </c>
      <c r="D914" t="str">
        <f>HYPERLINK("https://ota.tournamentsoftware.com/player-profile/94E82DA2-01EF-471F-BB0F-8CEAA1C42076", "Link")</f>
        <v>Link</v>
      </c>
      <c r="E914" s="2">
        <v>41.328000000000003</v>
      </c>
      <c r="F914" s="3">
        <v>9</v>
      </c>
      <c r="G914" t="s">
        <v>25</v>
      </c>
      <c r="H914" t="s">
        <v>1059</v>
      </c>
      <c r="I914">
        <v>37.6</v>
      </c>
      <c r="J914" s="3">
        <v>52</v>
      </c>
      <c r="K914" t="s">
        <v>2404</v>
      </c>
      <c r="L914" t="s">
        <v>1292</v>
      </c>
      <c r="M914" s="4">
        <v>0.31</v>
      </c>
      <c r="N914" s="4">
        <v>0.31</v>
      </c>
    </row>
    <row r="915" spans="1:14" x14ac:dyDescent="0.4">
      <c r="A915">
        <v>914</v>
      </c>
      <c r="B915">
        <v>2014</v>
      </c>
      <c r="C915" t="s">
        <v>2405</v>
      </c>
      <c r="D915" t="str">
        <f>HYPERLINK("https://ota.tournamentsoftware.com/player-profile/92B690E9-D6C6-410C-A457-5AC3927E933A", "Link")</f>
        <v>Link</v>
      </c>
      <c r="E915" s="2">
        <v>41.268000000000001</v>
      </c>
      <c r="F915" s="3">
        <v>11</v>
      </c>
      <c r="G915" t="s">
        <v>20</v>
      </c>
      <c r="H915" t="s">
        <v>16</v>
      </c>
      <c r="I915">
        <v>38.4</v>
      </c>
      <c r="J915" s="3">
        <v>77</v>
      </c>
      <c r="K915" t="s">
        <v>2406</v>
      </c>
      <c r="L915" t="s">
        <v>2407</v>
      </c>
      <c r="M915" s="4">
        <v>0.45</v>
      </c>
      <c r="N915" s="4">
        <v>0.43</v>
      </c>
    </row>
    <row r="916" spans="1:14" x14ac:dyDescent="0.4">
      <c r="A916">
        <v>915</v>
      </c>
      <c r="B916">
        <v>2016</v>
      </c>
      <c r="C916" t="s">
        <v>2408</v>
      </c>
      <c r="D916" t="str">
        <f>HYPERLINK("https://ota.tournamentsoftware.com/player-profile/50D3305E-63D5-4EFB-B53F-B64E463DE26E", "Link")</f>
        <v>Link</v>
      </c>
      <c r="E916" s="2">
        <v>41.04</v>
      </c>
      <c r="F916" s="3">
        <v>28</v>
      </c>
      <c r="G916" t="s">
        <v>29</v>
      </c>
      <c r="H916" t="s">
        <v>374</v>
      </c>
      <c r="I916">
        <v>37.799999999999997</v>
      </c>
      <c r="J916" s="3">
        <v>247</v>
      </c>
      <c r="K916" t="s">
        <v>2409</v>
      </c>
      <c r="L916" t="s">
        <v>2284</v>
      </c>
      <c r="M916" s="4">
        <v>0.4</v>
      </c>
      <c r="N916" s="4">
        <v>0.26</v>
      </c>
    </row>
    <row r="917" spans="1:14" x14ac:dyDescent="0.4">
      <c r="A917">
        <v>915</v>
      </c>
      <c r="B917">
        <v>2015</v>
      </c>
      <c r="C917" t="s">
        <v>2410</v>
      </c>
      <c r="D917" t="str">
        <f>HYPERLINK("https://ota.tournamentsoftware.com/player-profile/B149ED5D-E26B-4577-8AAB-620DB4A7A85F", "Link")</f>
        <v>Link</v>
      </c>
      <c r="E917" s="2">
        <v>41.04</v>
      </c>
      <c r="F917" s="3">
        <v>11</v>
      </c>
      <c r="G917" t="s">
        <v>29</v>
      </c>
      <c r="H917" t="s">
        <v>916</v>
      </c>
      <c r="I917">
        <v>37.200000000000003</v>
      </c>
      <c r="J917" s="3">
        <v>42</v>
      </c>
      <c r="K917" t="s">
        <v>2411</v>
      </c>
      <c r="L917" t="s">
        <v>1684</v>
      </c>
      <c r="M917" s="4">
        <v>0.38</v>
      </c>
      <c r="N917" s="4">
        <v>0.5</v>
      </c>
    </row>
    <row r="918" spans="1:14" x14ac:dyDescent="0.4">
      <c r="A918">
        <v>917</v>
      </c>
      <c r="B918">
        <v>2015</v>
      </c>
      <c r="C918" t="s">
        <v>2412</v>
      </c>
      <c r="D918" t="str">
        <f>HYPERLINK("https://ota.tournamentsoftware.com/player-profile/1B8AB01B-692B-4E5E-B513-A24155329374", "Link")</f>
        <v>Link</v>
      </c>
      <c r="E918" s="2">
        <v>40.564</v>
      </c>
      <c r="F918" s="3">
        <v>12</v>
      </c>
      <c r="G918" t="s">
        <v>20</v>
      </c>
      <c r="H918" t="s">
        <v>43</v>
      </c>
      <c r="I918">
        <v>35</v>
      </c>
      <c r="J918" s="3">
        <v>118</v>
      </c>
      <c r="K918" t="s">
        <v>2413</v>
      </c>
      <c r="L918" t="s">
        <v>2111</v>
      </c>
      <c r="M918" s="4">
        <v>0.47</v>
      </c>
      <c r="N918" s="4">
        <v>0.55000000000000004</v>
      </c>
    </row>
    <row r="919" spans="1:14" x14ac:dyDescent="0.4">
      <c r="A919">
        <v>918</v>
      </c>
      <c r="B919">
        <v>2014</v>
      </c>
      <c r="C919" t="s">
        <v>2414</v>
      </c>
      <c r="D919" t="str">
        <f>HYPERLINK("https://ota.tournamentsoftware.com/player-profile/5A55107A-8C3C-4255-8453-79017D4120E3", "Link")</f>
        <v>Link</v>
      </c>
      <c r="E919" s="2">
        <v>39.951999999999998</v>
      </c>
      <c r="F919" s="3">
        <v>4</v>
      </c>
      <c r="G919" t="s">
        <v>29</v>
      </c>
      <c r="H919" t="s">
        <v>103</v>
      </c>
      <c r="I919" t="s">
        <v>48</v>
      </c>
      <c r="J919" s="3">
        <v>16</v>
      </c>
      <c r="K919" t="s">
        <v>1292</v>
      </c>
      <c r="L919" t="s">
        <v>1625</v>
      </c>
      <c r="M919" s="4">
        <v>0.31</v>
      </c>
      <c r="N919" s="4">
        <v>0.33</v>
      </c>
    </row>
    <row r="920" spans="1:14" x14ac:dyDescent="0.4">
      <c r="A920">
        <v>919</v>
      </c>
      <c r="B920">
        <v>2010</v>
      </c>
      <c r="C920" t="s">
        <v>2415</v>
      </c>
      <c r="D920" t="str">
        <f>HYPERLINK("https://ota.tournamentsoftware.com/player-profile/8F6F9592-3A9D-42F2-AC59-51C1178449DA", "Link")</f>
        <v>Link</v>
      </c>
      <c r="E920" s="2">
        <v>39.731000000000002</v>
      </c>
      <c r="F920" s="3">
        <v>1</v>
      </c>
      <c r="G920" t="s">
        <v>29</v>
      </c>
      <c r="H920" t="s">
        <v>1078</v>
      </c>
      <c r="I920">
        <v>35</v>
      </c>
      <c r="J920" s="3">
        <v>5</v>
      </c>
      <c r="K920" t="s">
        <v>1674</v>
      </c>
      <c r="L920" t="s">
        <v>1284</v>
      </c>
      <c r="M920" s="4">
        <v>0.2</v>
      </c>
      <c r="N920" s="4">
        <v>0.33</v>
      </c>
    </row>
    <row r="921" spans="1:14" x14ac:dyDescent="0.4">
      <c r="A921">
        <v>920</v>
      </c>
      <c r="B921">
        <v>2013</v>
      </c>
      <c r="C921" t="s">
        <v>2416</v>
      </c>
      <c r="D921" t="str">
        <f>HYPERLINK("https://ota.tournamentsoftware.com/player-profile/9CD6D408-1A72-4E0B-A9C9-DD675B785873", "Link")</f>
        <v>Link</v>
      </c>
      <c r="E921" s="2">
        <v>38.659999999999997</v>
      </c>
      <c r="F921" s="3">
        <v>6</v>
      </c>
      <c r="G921" t="s">
        <v>29</v>
      </c>
      <c r="H921" t="s">
        <v>1470</v>
      </c>
      <c r="I921">
        <v>39.4</v>
      </c>
      <c r="J921" s="3">
        <v>29</v>
      </c>
      <c r="K921" t="s">
        <v>746</v>
      </c>
      <c r="L921" t="s">
        <v>1416</v>
      </c>
      <c r="M921" s="4">
        <v>0.34</v>
      </c>
      <c r="N921" s="4">
        <v>0.42</v>
      </c>
    </row>
    <row r="922" spans="1:14" x14ac:dyDescent="0.4">
      <c r="A922">
        <v>921</v>
      </c>
      <c r="B922">
        <v>2013</v>
      </c>
      <c r="C922" t="s">
        <v>2417</v>
      </c>
      <c r="D922" t="str">
        <f>HYPERLINK("https://ota.tournamentsoftware.com/player-profile/37A0CF8B-C4DF-49F1-946F-E349A3E42015", "Link")</f>
        <v>Link</v>
      </c>
      <c r="E922" s="2">
        <v>38.609000000000002</v>
      </c>
      <c r="F922" s="3">
        <v>4</v>
      </c>
      <c r="G922" t="s">
        <v>25</v>
      </c>
      <c r="H922" t="s">
        <v>16</v>
      </c>
      <c r="I922">
        <v>37.6</v>
      </c>
      <c r="J922" s="3">
        <v>15</v>
      </c>
      <c r="K922" t="s">
        <v>717</v>
      </c>
      <c r="L922" t="s">
        <v>1303</v>
      </c>
      <c r="M922" s="4">
        <v>0.27</v>
      </c>
      <c r="N922" s="4">
        <v>0.14000000000000001</v>
      </c>
    </row>
    <row r="923" spans="1:14" x14ac:dyDescent="0.4">
      <c r="A923">
        <v>922</v>
      </c>
      <c r="B923">
        <v>2011</v>
      </c>
      <c r="C923" t="s">
        <v>2418</v>
      </c>
      <c r="D923" t="str">
        <f>HYPERLINK("https://ota.tournamentsoftware.com/player-profile/9FB13221-9DCC-4685-969D-FE5AF0139B46", "Link")</f>
        <v>Link</v>
      </c>
      <c r="E923" s="2">
        <v>38.520000000000003</v>
      </c>
      <c r="F923" s="3">
        <v>1</v>
      </c>
      <c r="G923" t="s">
        <v>29</v>
      </c>
      <c r="H923" t="s">
        <v>2419</v>
      </c>
      <c r="I923">
        <v>35.5</v>
      </c>
      <c r="J923" s="3">
        <v>5</v>
      </c>
      <c r="K923" t="s">
        <v>1243</v>
      </c>
      <c r="L923" t="s">
        <v>1284</v>
      </c>
      <c r="M923" s="4">
        <v>0.4</v>
      </c>
      <c r="N923" s="4">
        <v>0.33</v>
      </c>
    </row>
    <row r="924" spans="1:14" x14ac:dyDescent="0.4">
      <c r="A924">
        <v>923</v>
      </c>
      <c r="B924">
        <v>2016</v>
      </c>
      <c r="C924" t="s">
        <v>2420</v>
      </c>
      <c r="D924" t="str">
        <f>HYPERLINK("https://ota.tournamentsoftware.com/player-profile/61C0E090-4E32-499F-86FE-FFD674DD6128", "Link")</f>
        <v>Link</v>
      </c>
      <c r="E924" s="2">
        <v>38.377000000000002</v>
      </c>
      <c r="F924" s="3">
        <v>7</v>
      </c>
      <c r="G924" t="s">
        <v>29</v>
      </c>
      <c r="H924" t="s">
        <v>81</v>
      </c>
      <c r="I924">
        <v>38.299999999999997</v>
      </c>
      <c r="J924" s="3">
        <v>71</v>
      </c>
      <c r="K924" t="s">
        <v>2421</v>
      </c>
      <c r="L924" t="s">
        <v>818</v>
      </c>
      <c r="M924" s="4">
        <v>0.46</v>
      </c>
      <c r="N924" s="4">
        <v>0.56000000000000005</v>
      </c>
    </row>
    <row r="925" spans="1:14" x14ac:dyDescent="0.4">
      <c r="A925">
        <v>924</v>
      </c>
      <c r="B925">
        <v>2013</v>
      </c>
      <c r="C925" t="s">
        <v>2422</v>
      </c>
      <c r="D925" t="str">
        <f>HYPERLINK("https://ota.tournamentsoftware.com/player-profile/4AB57DE3-C832-4B9F-8F8F-AECBF5EE5A81", "Link")</f>
        <v>Link</v>
      </c>
      <c r="E925" s="2">
        <v>38.216000000000001</v>
      </c>
      <c r="F925" s="3">
        <v>4</v>
      </c>
      <c r="G925" t="s">
        <v>20</v>
      </c>
      <c r="H925" t="s">
        <v>1822</v>
      </c>
      <c r="I925">
        <v>37.6</v>
      </c>
      <c r="J925" s="3">
        <v>20</v>
      </c>
      <c r="K925" t="s">
        <v>642</v>
      </c>
      <c r="L925" t="s">
        <v>1267</v>
      </c>
      <c r="M925" s="4">
        <v>0.45</v>
      </c>
      <c r="N925" s="4">
        <v>0.25</v>
      </c>
    </row>
    <row r="926" spans="1:14" x14ac:dyDescent="0.4">
      <c r="A926">
        <v>925</v>
      </c>
      <c r="B926">
        <v>2013</v>
      </c>
      <c r="C926" t="s">
        <v>2423</v>
      </c>
      <c r="D926" t="str">
        <f>HYPERLINK("https://ota.tournamentsoftware.com/player-profile/1AE7E627-3ED1-4E93-9C7E-52183DBA7410", "Link")</f>
        <v>Link</v>
      </c>
      <c r="E926" s="2">
        <v>38.015999999999998</v>
      </c>
      <c r="F926" s="3">
        <v>2</v>
      </c>
      <c r="G926" t="s">
        <v>29</v>
      </c>
      <c r="H926" t="s">
        <v>103</v>
      </c>
      <c r="I926">
        <v>37.1</v>
      </c>
      <c r="J926" s="3">
        <v>27</v>
      </c>
      <c r="K926" t="s">
        <v>2424</v>
      </c>
      <c r="L926" t="s">
        <v>1284</v>
      </c>
      <c r="M926" s="4">
        <v>0.3</v>
      </c>
      <c r="N926" s="4">
        <v>0.33</v>
      </c>
    </row>
    <row r="927" spans="1:14" x14ac:dyDescent="0.4">
      <c r="A927">
        <v>926</v>
      </c>
      <c r="B927">
        <v>2015</v>
      </c>
      <c r="C927" t="s">
        <v>2425</v>
      </c>
      <c r="D927" t="str">
        <f>HYPERLINK("https://ota.tournamentsoftware.com/player-profile/C1BD78E7-5BB0-4BD0-9D53-DA02A232F8A0", "Link")</f>
        <v>Link</v>
      </c>
      <c r="E927" s="2">
        <v>37.548000000000002</v>
      </c>
      <c r="F927" s="3">
        <v>4</v>
      </c>
      <c r="G927" t="s">
        <v>29</v>
      </c>
      <c r="H927" t="s">
        <v>16</v>
      </c>
      <c r="I927">
        <v>37.6</v>
      </c>
      <c r="J927" s="3">
        <v>38</v>
      </c>
      <c r="K927" t="s">
        <v>2426</v>
      </c>
      <c r="L927" t="s">
        <v>2427</v>
      </c>
      <c r="M927" s="4">
        <v>0.47</v>
      </c>
      <c r="N927" s="4">
        <v>0.64</v>
      </c>
    </row>
    <row r="928" spans="1:14" x14ac:dyDescent="0.4">
      <c r="A928">
        <v>927</v>
      </c>
      <c r="B928">
        <v>2013</v>
      </c>
      <c r="C928" t="s">
        <v>2428</v>
      </c>
      <c r="D928" t="str">
        <f>HYPERLINK("https://ota.tournamentsoftware.com/player-profile/109D0444-3430-4CBD-A2CA-522592228926", "Link")</f>
        <v>Link</v>
      </c>
      <c r="E928" s="2">
        <v>37.396999999999998</v>
      </c>
      <c r="F928" s="3">
        <v>3</v>
      </c>
      <c r="G928" t="s">
        <v>29</v>
      </c>
      <c r="H928" t="s">
        <v>16</v>
      </c>
      <c r="I928">
        <v>37.799999999999997</v>
      </c>
      <c r="J928" s="3">
        <v>5</v>
      </c>
      <c r="K928" t="s">
        <v>1674</v>
      </c>
      <c r="L928" t="s">
        <v>1674</v>
      </c>
      <c r="M928" s="4">
        <v>0.2</v>
      </c>
      <c r="N928" s="4">
        <v>0.2</v>
      </c>
    </row>
    <row r="929" spans="1:14" x14ac:dyDescent="0.4">
      <c r="A929">
        <v>928</v>
      </c>
      <c r="B929">
        <v>2015</v>
      </c>
      <c r="C929" t="s">
        <v>2429</v>
      </c>
      <c r="D929" t="str">
        <f>HYPERLINK("https://ota.tournamentsoftware.com/player-profile/B4ED1890-6E53-4FCC-9711-828BDD90CD1F", "Link")</f>
        <v>Link</v>
      </c>
      <c r="E929" s="2">
        <v>36.167999999999999</v>
      </c>
      <c r="F929" s="3">
        <v>8</v>
      </c>
      <c r="G929" t="s">
        <v>20</v>
      </c>
      <c r="H929" t="s">
        <v>260</v>
      </c>
      <c r="I929">
        <v>36.799999999999997</v>
      </c>
      <c r="J929" s="3">
        <v>71</v>
      </c>
      <c r="K929" t="s">
        <v>2430</v>
      </c>
      <c r="L929" t="s">
        <v>2431</v>
      </c>
      <c r="M929" s="4">
        <v>0.49</v>
      </c>
      <c r="N929" s="4">
        <v>0.47</v>
      </c>
    </row>
    <row r="930" spans="1:14" x14ac:dyDescent="0.4">
      <c r="A930">
        <v>929</v>
      </c>
      <c r="B930">
        <v>2013</v>
      </c>
      <c r="C930" t="s">
        <v>2432</v>
      </c>
      <c r="D930" t="str">
        <f>HYPERLINK("https://ota.tournamentsoftware.com/player-profile/5A64317A-A412-4DEB-A68D-94CE45EAE2DD", "Link")</f>
        <v>Link</v>
      </c>
      <c r="E930" s="2">
        <v>35.767000000000003</v>
      </c>
      <c r="F930" s="3">
        <v>3</v>
      </c>
      <c r="G930" t="s">
        <v>20</v>
      </c>
      <c r="H930" t="s">
        <v>2215</v>
      </c>
      <c r="I930" t="s">
        <v>48</v>
      </c>
      <c r="J930" s="3">
        <v>9</v>
      </c>
      <c r="K930" t="s">
        <v>1364</v>
      </c>
      <c r="L930" t="s">
        <v>1303</v>
      </c>
      <c r="M930" s="4">
        <v>0.11</v>
      </c>
      <c r="N930" s="4">
        <v>0.14000000000000001</v>
      </c>
    </row>
    <row r="931" spans="1:14" x14ac:dyDescent="0.4">
      <c r="A931">
        <v>930</v>
      </c>
      <c r="B931">
        <v>2015</v>
      </c>
      <c r="C931" t="s">
        <v>2433</v>
      </c>
      <c r="D931" t="str">
        <f>HYPERLINK("https://ota.tournamentsoftware.com/player-profile/74E5B02E-036C-4D6F-B122-5C8FEF79A927", "Link")</f>
        <v>Link</v>
      </c>
      <c r="E931" s="2">
        <v>35.725999999999999</v>
      </c>
      <c r="F931" s="3">
        <v>5</v>
      </c>
      <c r="G931" t="s">
        <v>29</v>
      </c>
      <c r="H931" t="s">
        <v>2003</v>
      </c>
      <c r="I931">
        <v>39.9</v>
      </c>
      <c r="J931" s="3">
        <v>95</v>
      </c>
      <c r="K931" t="s">
        <v>2434</v>
      </c>
      <c r="L931" t="s">
        <v>1044</v>
      </c>
      <c r="M931" s="4">
        <v>0.16</v>
      </c>
      <c r="N931" s="4">
        <v>0.31</v>
      </c>
    </row>
    <row r="932" spans="1:14" x14ac:dyDescent="0.4">
      <c r="A932">
        <v>931</v>
      </c>
      <c r="B932">
        <v>2015</v>
      </c>
      <c r="C932" t="s">
        <v>2435</v>
      </c>
      <c r="D932" t="str">
        <f>HYPERLINK("https://ota.tournamentsoftware.com/player-profile/54FA7561-0327-4A42-A5FE-A5519116069C", "Link")</f>
        <v>Link</v>
      </c>
      <c r="E932" s="2">
        <v>35.631999999999998</v>
      </c>
      <c r="F932" s="3">
        <v>4</v>
      </c>
      <c r="G932" t="s">
        <v>29</v>
      </c>
      <c r="H932" t="s">
        <v>2436</v>
      </c>
      <c r="I932">
        <v>39.299999999999997</v>
      </c>
      <c r="J932" s="3">
        <v>27</v>
      </c>
      <c r="K932" t="s">
        <v>838</v>
      </c>
      <c r="L932" t="s">
        <v>1674</v>
      </c>
      <c r="M932" s="4">
        <v>0.37</v>
      </c>
      <c r="N932" s="4">
        <v>0.2</v>
      </c>
    </row>
    <row r="933" spans="1:14" x14ac:dyDescent="0.4">
      <c r="A933">
        <v>932</v>
      </c>
      <c r="B933">
        <v>2013</v>
      </c>
      <c r="C933" t="s">
        <v>2437</v>
      </c>
      <c r="D933" t="str">
        <f>HYPERLINK("https://ota.tournamentsoftware.com/player-profile/2FA47597-FC2B-4F26-80C4-912C2FC70064", "Link")</f>
        <v>Link</v>
      </c>
      <c r="E933" s="2">
        <v>35.51</v>
      </c>
      <c r="F933" s="3">
        <v>1</v>
      </c>
      <c r="G933" t="s">
        <v>15</v>
      </c>
      <c r="H933" t="s">
        <v>2323</v>
      </c>
      <c r="I933">
        <v>36.700000000000003</v>
      </c>
      <c r="J933" s="3">
        <v>10</v>
      </c>
      <c r="K933" t="s">
        <v>932</v>
      </c>
      <c r="L933" t="s">
        <v>932</v>
      </c>
      <c r="M933" s="4">
        <v>0.3</v>
      </c>
      <c r="N933" s="4">
        <v>0.3</v>
      </c>
    </row>
    <row r="934" spans="1:14" x14ac:dyDescent="0.4">
      <c r="A934">
        <v>933</v>
      </c>
      <c r="B934">
        <v>2014</v>
      </c>
      <c r="C934" t="s">
        <v>2438</v>
      </c>
      <c r="D934" t="str">
        <f>HYPERLINK("https://ota.tournamentsoftware.com/player-profile/53615BF8-C3DB-4C99-8745-F5A7E4DC7C2E", "Link")</f>
        <v>Link</v>
      </c>
      <c r="E934" s="2">
        <v>35.466000000000001</v>
      </c>
      <c r="F934" s="3">
        <v>10</v>
      </c>
      <c r="G934" t="s">
        <v>25</v>
      </c>
      <c r="H934" t="s">
        <v>754</v>
      </c>
      <c r="I934">
        <v>39.200000000000003</v>
      </c>
      <c r="J934" s="3">
        <v>49</v>
      </c>
      <c r="K934" t="s">
        <v>1329</v>
      </c>
      <c r="L934" t="s">
        <v>1962</v>
      </c>
      <c r="M934" s="4">
        <v>0.28999999999999998</v>
      </c>
      <c r="N934" s="4">
        <v>0.24</v>
      </c>
    </row>
    <row r="935" spans="1:14" x14ac:dyDescent="0.4">
      <c r="A935">
        <v>934</v>
      </c>
      <c r="B935">
        <v>2011</v>
      </c>
      <c r="C935" t="s">
        <v>2439</v>
      </c>
      <c r="D935" t="str">
        <f>HYPERLINK("https://ota.tournamentsoftware.com/player-profile/46E37B6E-B6CD-4E5A-BADF-9FD8937F1077", "Link")</f>
        <v>Link</v>
      </c>
      <c r="E935" s="2">
        <v>35.371000000000002</v>
      </c>
      <c r="F935" s="3">
        <v>2</v>
      </c>
      <c r="G935" t="s">
        <v>20</v>
      </c>
      <c r="H935" t="s">
        <v>1369</v>
      </c>
      <c r="I935">
        <v>34.9</v>
      </c>
      <c r="J935" s="3">
        <v>53</v>
      </c>
      <c r="K935" t="s">
        <v>2440</v>
      </c>
      <c r="L935" t="s">
        <v>1284</v>
      </c>
      <c r="M935" s="4">
        <v>0.47</v>
      </c>
      <c r="N935" s="4">
        <v>0.33</v>
      </c>
    </row>
    <row r="936" spans="1:14" x14ac:dyDescent="0.4">
      <c r="A936">
        <v>935</v>
      </c>
      <c r="B936">
        <v>2011</v>
      </c>
      <c r="C936" t="s">
        <v>2441</v>
      </c>
      <c r="D936" t="str">
        <f>HYPERLINK("https://ota.tournamentsoftware.com/player-profile/346D4D0D-6524-42F1-BF05-C3AFF97B306E", "Link")</f>
        <v>Link</v>
      </c>
      <c r="E936" s="2">
        <v>35.231000000000002</v>
      </c>
      <c r="F936" s="3">
        <v>1</v>
      </c>
      <c r="G936" t="s">
        <v>25</v>
      </c>
      <c r="H936" t="s">
        <v>840</v>
      </c>
      <c r="I936">
        <v>30.2</v>
      </c>
      <c r="J936" s="3">
        <v>64</v>
      </c>
      <c r="K936" t="s">
        <v>2442</v>
      </c>
      <c r="L936" t="s">
        <v>523</v>
      </c>
      <c r="M936" s="4">
        <v>0.48</v>
      </c>
      <c r="N936" s="4">
        <v>0.5</v>
      </c>
    </row>
    <row r="937" spans="1:14" x14ac:dyDescent="0.4">
      <c r="A937">
        <v>936</v>
      </c>
      <c r="B937">
        <v>2011</v>
      </c>
      <c r="C937" t="s">
        <v>2443</v>
      </c>
      <c r="D937" t="str">
        <f>HYPERLINK("https://ota.tournamentsoftware.com/player-profile/1CB9AF18-6825-4919-9424-9B909F875E7F", "Link")</f>
        <v>Link</v>
      </c>
      <c r="E937" s="2">
        <v>35.104999999999997</v>
      </c>
      <c r="F937" s="3">
        <v>2</v>
      </c>
      <c r="G937" t="s">
        <v>25</v>
      </c>
      <c r="H937" t="s">
        <v>754</v>
      </c>
      <c r="I937">
        <v>40</v>
      </c>
      <c r="J937" s="3">
        <v>10</v>
      </c>
      <c r="K937" t="s">
        <v>1858</v>
      </c>
      <c r="L937" t="s">
        <v>879</v>
      </c>
      <c r="M937" s="4">
        <v>0</v>
      </c>
      <c r="N937" s="4">
        <v>0</v>
      </c>
    </row>
    <row r="938" spans="1:14" x14ac:dyDescent="0.4">
      <c r="A938">
        <v>937</v>
      </c>
      <c r="B938">
        <v>2011</v>
      </c>
      <c r="C938" t="s">
        <v>2444</v>
      </c>
      <c r="D938" t="str">
        <f>HYPERLINK("https://ota.tournamentsoftware.com/player-profile/BD006228-8B70-437A-B023-1B392CDAE434", "Link")</f>
        <v>Link</v>
      </c>
      <c r="E938" s="2">
        <v>34.991999999999997</v>
      </c>
      <c r="F938" s="3">
        <v>2</v>
      </c>
      <c r="G938" t="s">
        <v>20</v>
      </c>
      <c r="H938" t="s">
        <v>2344</v>
      </c>
      <c r="I938" t="s">
        <v>48</v>
      </c>
      <c r="J938" s="3">
        <v>4</v>
      </c>
      <c r="K938" t="s">
        <v>1240</v>
      </c>
      <c r="L938" t="s">
        <v>1240</v>
      </c>
      <c r="M938" s="4">
        <v>0.5</v>
      </c>
      <c r="N938" s="4">
        <v>0.5</v>
      </c>
    </row>
    <row r="939" spans="1:14" x14ac:dyDescent="0.4">
      <c r="A939">
        <v>938</v>
      </c>
      <c r="B939">
        <v>2015</v>
      </c>
      <c r="C939" t="s">
        <v>2445</v>
      </c>
      <c r="D939" t="str">
        <f>HYPERLINK("https://ota.tournamentsoftware.com/player-profile/E8E00722-2274-4657-BCF4-B20EEBB0EB21", "Link")</f>
        <v>Link</v>
      </c>
      <c r="E939" s="2">
        <v>34.902999999999999</v>
      </c>
      <c r="F939" s="3">
        <v>6</v>
      </c>
      <c r="G939" t="s">
        <v>29</v>
      </c>
      <c r="H939" t="s">
        <v>199</v>
      </c>
      <c r="I939">
        <v>35.700000000000003</v>
      </c>
      <c r="J939" s="3">
        <v>41</v>
      </c>
      <c r="K939" t="s">
        <v>1988</v>
      </c>
      <c r="L939" t="s">
        <v>914</v>
      </c>
      <c r="M939" s="4">
        <v>0.56000000000000005</v>
      </c>
      <c r="N939" s="4">
        <v>0.53</v>
      </c>
    </row>
    <row r="940" spans="1:14" x14ac:dyDescent="0.4">
      <c r="A940">
        <v>939</v>
      </c>
      <c r="B940">
        <v>2012</v>
      </c>
      <c r="C940" t="s">
        <v>2446</v>
      </c>
      <c r="D940" t="str">
        <f>HYPERLINK("https://ota.tournamentsoftware.com/player-profile/AD54A68E-D415-4925-B832-8287172FB727", "Link")</f>
        <v>Link</v>
      </c>
      <c r="E940" s="2">
        <v>34.734999999999999</v>
      </c>
      <c r="F940" s="3">
        <v>10</v>
      </c>
      <c r="G940" t="s">
        <v>109</v>
      </c>
      <c r="H940" t="s">
        <v>281</v>
      </c>
      <c r="I940">
        <v>36.4</v>
      </c>
      <c r="J940" s="3">
        <v>50</v>
      </c>
      <c r="K940" t="s">
        <v>2447</v>
      </c>
      <c r="L940" t="s">
        <v>1854</v>
      </c>
      <c r="M940" s="4">
        <v>0.46</v>
      </c>
      <c r="N940" s="4">
        <v>0.2</v>
      </c>
    </row>
    <row r="941" spans="1:14" x14ac:dyDescent="0.4">
      <c r="A941">
        <v>940</v>
      </c>
      <c r="B941">
        <v>2010</v>
      </c>
      <c r="C941" t="s">
        <v>2448</v>
      </c>
      <c r="D941" t="str">
        <f>HYPERLINK("https://ota.tournamentsoftware.com/player-profile/6559CF12-60B2-4312-8C89-2C580B66D816", "Link")</f>
        <v>Link</v>
      </c>
      <c r="E941" s="2">
        <v>34.344000000000001</v>
      </c>
      <c r="F941" s="3">
        <v>1</v>
      </c>
      <c r="G941" t="s">
        <v>29</v>
      </c>
      <c r="H941" t="s">
        <v>2449</v>
      </c>
      <c r="I941" t="s">
        <v>48</v>
      </c>
      <c r="J941" s="3">
        <v>46</v>
      </c>
      <c r="K941" t="s">
        <v>2450</v>
      </c>
      <c r="L941" t="s">
        <v>523</v>
      </c>
      <c r="M941" s="4">
        <v>0.24</v>
      </c>
      <c r="N941" s="4">
        <v>0.5</v>
      </c>
    </row>
    <row r="942" spans="1:14" x14ac:dyDescent="0.4">
      <c r="A942">
        <v>941</v>
      </c>
      <c r="B942">
        <v>2016</v>
      </c>
      <c r="C942" t="s">
        <v>2451</v>
      </c>
      <c r="D942" t="str">
        <f>HYPERLINK("https://ota.tournamentsoftware.com/player-profile/F092EBD2-5997-4E03-AED5-C7E2E614192B", "Link")</f>
        <v>Link</v>
      </c>
      <c r="E942" s="2">
        <v>34.341999999999999</v>
      </c>
      <c r="F942" s="3">
        <v>11</v>
      </c>
      <c r="G942" t="s">
        <v>20</v>
      </c>
      <c r="H942" t="s">
        <v>2452</v>
      </c>
      <c r="I942">
        <v>37.1</v>
      </c>
      <c r="J942" s="3">
        <v>125</v>
      </c>
      <c r="K942" t="s">
        <v>2453</v>
      </c>
      <c r="L942" t="s">
        <v>2454</v>
      </c>
      <c r="M942" s="4">
        <v>0.48</v>
      </c>
      <c r="N942" s="4">
        <v>0.59</v>
      </c>
    </row>
    <row r="943" spans="1:14" x14ac:dyDescent="0.4">
      <c r="A943">
        <v>942</v>
      </c>
      <c r="B943">
        <v>2013</v>
      </c>
      <c r="C943" t="s">
        <v>2455</v>
      </c>
      <c r="D943" t="str">
        <f>HYPERLINK("https://ota.tournamentsoftware.com/player-profile/3F052198-DCE4-4852-8FA0-B0793E67B6FC", "Link")</f>
        <v>Link</v>
      </c>
      <c r="E943" s="2">
        <v>34.165999999999997</v>
      </c>
      <c r="F943" s="3">
        <v>4</v>
      </c>
      <c r="G943" t="s">
        <v>20</v>
      </c>
      <c r="H943" t="s">
        <v>21</v>
      </c>
      <c r="I943">
        <v>37.9</v>
      </c>
      <c r="J943" s="3">
        <v>26</v>
      </c>
      <c r="K943" t="s">
        <v>1226</v>
      </c>
      <c r="L943" t="s">
        <v>1226</v>
      </c>
      <c r="M943" s="4">
        <v>0.42</v>
      </c>
      <c r="N943" s="4">
        <v>0.42</v>
      </c>
    </row>
    <row r="944" spans="1:14" x14ac:dyDescent="0.4">
      <c r="A944">
        <v>943</v>
      </c>
      <c r="B944">
        <v>2015</v>
      </c>
      <c r="C944" t="s">
        <v>2456</v>
      </c>
      <c r="D944" t="str">
        <f>HYPERLINK("https://ota.tournamentsoftware.com/player-profile/1595D3E6-D4CF-4ADE-B136-FD5AC473C7F7", "Link")</f>
        <v>Link</v>
      </c>
      <c r="E944" s="2">
        <v>33.917000000000002</v>
      </c>
      <c r="F944" s="3">
        <v>7</v>
      </c>
      <c r="G944" t="s">
        <v>29</v>
      </c>
      <c r="H944" t="s">
        <v>199</v>
      </c>
      <c r="I944" t="s">
        <v>48</v>
      </c>
      <c r="J944" s="3">
        <v>79</v>
      </c>
      <c r="K944" t="s">
        <v>2457</v>
      </c>
      <c r="L944" t="s">
        <v>1275</v>
      </c>
      <c r="M944" s="4">
        <v>0.35</v>
      </c>
      <c r="N944" s="4">
        <v>0.31</v>
      </c>
    </row>
    <row r="945" spans="1:14" x14ac:dyDescent="0.4">
      <c r="A945">
        <v>944</v>
      </c>
      <c r="B945">
        <v>2014</v>
      </c>
      <c r="C945" t="s">
        <v>2458</v>
      </c>
      <c r="D945" t="str">
        <f>HYPERLINK("https://ota.tournamentsoftware.com/player-profile/AB3893CF-B68D-4258-893E-E7C3FB601465", "Link")</f>
        <v>Link</v>
      </c>
      <c r="E945" s="2">
        <v>33.662999999999997</v>
      </c>
      <c r="F945" s="3">
        <v>5</v>
      </c>
      <c r="G945" t="s">
        <v>435</v>
      </c>
      <c r="H945" t="s">
        <v>436</v>
      </c>
      <c r="I945">
        <v>37.4</v>
      </c>
      <c r="J945" s="3">
        <v>72</v>
      </c>
      <c r="K945" t="s">
        <v>2459</v>
      </c>
      <c r="L945" t="s">
        <v>1030</v>
      </c>
      <c r="M945" s="4">
        <v>0.47</v>
      </c>
      <c r="N945" s="4">
        <v>0.25</v>
      </c>
    </row>
    <row r="946" spans="1:14" x14ac:dyDescent="0.4">
      <c r="A946">
        <v>945</v>
      </c>
      <c r="B946">
        <v>2013</v>
      </c>
      <c r="C946" t="s">
        <v>2460</v>
      </c>
      <c r="D946" t="str">
        <f>HYPERLINK("https://ota.tournamentsoftware.com/player-profile/A41CCD9F-8BEB-4085-842F-8E5A7DA612FF", "Link")</f>
        <v>Link</v>
      </c>
      <c r="E946" s="2">
        <v>33.35</v>
      </c>
      <c r="F946" s="3">
        <v>2</v>
      </c>
      <c r="G946" t="s">
        <v>29</v>
      </c>
      <c r="H946" t="s">
        <v>1784</v>
      </c>
      <c r="I946">
        <v>34.4</v>
      </c>
      <c r="J946" s="3">
        <v>55</v>
      </c>
      <c r="K946" t="s">
        <v>2461</v>
      </c>
      <c r="L946" t="s">
        <v>2462</v>
      </c>
      <c r="M946" s="4">
        <v>0.75</v>
      </c>
      <c r="N946" s="4">
        <v>0.67</v>
      </c>
    </row>
    <row r="947" spans="1:14" x14ac:dyDescent="0.4">
      <c r="A947">
        <v>946</v>
      </c>
      <c r="B947">
        <v>2014</v>
      </c>
      <c r="C947" t="s">
        <v>2463</v>
      </c>
      <c r="D947" t="str">
        <f>HYPERLINK("https://ota.tournamentsoftware.com/player-profile/0742AD15-E29E-4761-9ABC-EF929E7499C5", "Link")</f>
        <v>Link</v>
      </c>
      <c r="E947" s="2">
        <v>33.305</v>
      </c>
      <c r="F947" s="3">
        <v>3</v>
      </c>
      <c r="G947" t="s">
        <v>25</v>
      </c>
      <c r="H947" t="s">
        <v>16</v>
      </c>
      <c r="I947">
        <v>40</v>
      </c>
      <c r="J947" s="3">
        <v>8</v>
      </c>
      <c r="K947" t="s">
        <v>2195</v>
      </c>
      <c r="L947" t="s">
        <v>1721</v>
      </c>
      <c r="M947" s="4">
        <v>0</v>
      </c>
      <c r="N947" s="4">
        <v>0</v>
      </c>
    </row>
    <row r="948" spans="1:14" x14ac:dyDescent="0.4">
      <c r="A948">
        <v>947</v>
      </c>
      <c r="B948">
        <v>2015</v>
      </c>
      <c r="C948" t="s">
        <v>2464</v>
      </c>
      <c r="D948" t="str">
        <f>HYPERLINK("https://ota.tournamentsoftware.com/player-profile/0F38D490-CA76-4A12-BE87-0BAC308EDC74", "Link")</f>
        <v>Link</v>
      </c>
      <c r="E948" s="2">
        <v>32.537999999999997</v>
      </c>
      <c r="F948" s="3">
        <v>6</v>
      </c>
      <c r="G948" t="s">
        <v>20</v>
      </c>
      <c r="H948" t="s">
        <v>43</v>
      </c>
      <c r="I948" t="s">
        <v>48</v>
      </c>
      <c r="J948" s="3">
        <v>93</v>
      </c>
      <c r="K948" t="s">
        <v>2465</v>
      </c>
      <c r="L948" t="s">
        <v>592</v>
      </c>
      <c r="M948" s="4">
        <v>0.45</v>
      </c>
      <c r="N948" s="4">
        <v>0.54</v>
      </c>
    </row>
    <row r="949" spans="1:14" x14ac:dyDescent="0.4">
      <c r="A949">
        <v>948</v>
      </c>
      <c r="B949">
        <v>2015</v>
      </c>
      <c r="C949" t="s">
        <v>2466</v>
      </c>
      <c r="D949" t="str">
        <f>HYPERLINK("https://ota.tournamentsoftware.com/player-profile/7D0915D9-E26B-4DD0-AA8A-90DD2833C0F8", "Link")</f>
        <v>Link</v>
      </c>
      <c r="E949" s="2">
        <v>32.49</v>
      </c>
      <c r="F949" s="3">
        <v>6</v>
      </c>
      <c r="G949" t="s">
        <v>29</v>
      </c>
      <c r="H949" t="s">
        <v>141</v>
      </c>
      <c r="I949">
        <v>37.6</v>
      </c>
      <c r="J949" s="3">
        <v>105</v>
      </c>
      <c r="K949" t="s">
        <v>2467</v>
      </c>
      <c r="L949" t="s">
        <v>1407</v>
      </c>
      <c r="M949" s="4">
        <v>0.36</v>
      </c>
      <c r="N949" s="4">
        <v>0.5</v>
      </c>
    </row>
    <row r="950" spans="1:14" x14ac:dyDescent="0.4">
      <c r="A950">
        <v>949</v>
      </c>
      <c r="B950">
        <v>2010</v>
      </c>
      <c r="C950" t="s">
        <v>2468</v>
      </c>
      <c r="D950" t="str">
        <f>HYPERLINK("https://ota.tournamentsoftware.com/player-profile/E035904C-DAE9-4CD4-B0EF-169E86EA4EED", "Link")</f>
        <v>Link</v>
      </c>
      <c r="E950" s="2">
        <v>32.183999999999997</v>
      </c>
      <c r="F950" s="3">
        <v>1</v>
      </c>
      <c r="G950" t="s">
        <v>29</v>
      </c>
      <c r="H950" t="s">
        <v>277</v>
      </c>
      <c r="I950">
        <v>37.299999999999997</v>
      </c>
      <c r="J950" s="3">
        <v>4</v>
      </c>
      <c r="K950" t="s">
        <v>879</v>
      </c>
      <c r="L950" t="s">
        <v>31</v>
      </c>
      <c r="M950" s="4">
        <v>0</v>
      </c>
      <c r="N950" s="4">
        <v>0</v>
      </c>
    </row>
    <row r="951" spans="1:14" x14ac:dyDescent="0.4">
      <c r="A951">
        <v>950</v>
      </c>
      <c r="B951">
        <v>2011</v>
      </c>
      <c r="C951" t="s">
        <v>2469</v>
      </c>
      <c r="D951" t="str">
        <f>HYPERLINK("https://ota.tournamentsoftware.com/player-profile/2D853267-3DD3-4AEB-811A-F62DE76438B0", "Link")</f>
        <v>Link</v>
      </c>
      <c r="E951" s="2">
        <v>32.127000000000002</v>
      </c>
      <c r="F951" s="3">
        <v>2</v>
      </c>
      <c r="G951" t="s">
        <v>29</v>
      </c>
      <c r="H951" t="s">
        <v>16</v>
      </c>
      <c r="I951">
        <v>39.5</v>
      </c>
      <c r="J951" s="3">
        <v>22</v>
      </c>
      <c r="K951" t="s">
        <v>2470</v>
      </c>
      <c r="L951" t="s">
        <v>31</v>
      </c>
      <c r="M951" s="4">
        <v>0.18</v>
      </c>
      <c r="N951" s="4">
        <v>0</v>
      </c>
    </row>
    <row r="952" spans="1:14" x14ac:dyDescent="0.4">
      <c r="A952">
        <v>951</v>
      </c>
      <c r="B952">
        <v>2015</v>
      </c>
      <c r="C952" t="s">
        <v>2471</v>
      </c>
      <c r="D952" t="str">
        <f>HYPERLINK("https://ota.tournamentsoftware.com/player-profile/8FD01254-4DB3-4BFF-A784-65DB87717C42", "Link")</f>
        <v>Link</v>
      </c>
      <c r="E952" s="2">
        <v>31.992000000000001</v>
      </c>
      <c r="F952" s="3">
        <v>7</v>
      </c>
      <c r="G952" t="s">
        <v>29</v>
      </c>
      <c r="H952" t="s">
        <v>1689</v>
      </c>
      <c r="I952">
        <v>38.6</v>
      </c>
      <c r="J952" s="3">
        <v>56</v>
      </c>
      <c r="K952" t="s">
        <v>2472</v>
      </c>
      <c r="L952" t="s">
        <v>475</v>
      </c>
      <c r="M952" s="4">
        <v>0.32</v>
      </c>
      <c r="N952" s="4">
        <v>0.38</v>
      </c>
    </row>
    <row r="953" spans="1:14" x14ac:dyDescent="0.4">
      <c r="A953">
        <v>952</v>
      </c>
      <c r="B953">
        <v>2012</v>
      </c>
      <c r="C953" t="s">
        <v>2473</v>
      </c>
      <c r="D953" t="str">
        <f>HYPERLINK("https://ota.tournamentsoftware.com/player-profile/7853B67E-AF4D-4FFF-9839-6455ACC0C941", "Link")</f>
        <v>Link</v>
      </c>
      <c r="E953" s="2">
        <v>31.759</v>
      </c>
      <c r="F953" s="3">
        <v>5</v>
      </c>
      <c r="G953" t="s">
        <v>25</v>
      </c>
      <c r="H953" t="s">
        <v>754</v>
      </c>
      <c r="I953">
        <v>40</v>
      </c>
      <c r="J953" s="3">
        <v>15</v>
      </c>
      <c r="K953" t="s">
        <v>1570</v>
      </c>
      <c r="L953" t="s">
        <v>879</v>
      </c>
      <c r="M953" s="4">
        <v>7.0000000000000007E-2</v>
      </c>
      <c r="N953" s="4">
        <v>0</v>
      </c>
    </row>
    <row r="954" spans="1:14" x14ac:dyDescent="0.4">
      <c r="A954">
        <v>953</v>
      </c>
      <c r="B954">
        <v>2016</v>
      </c>
      <c r="C954" t="s">
        <v>2474</v>
      </c>
      <c r="D954" t="str">
        <f>HYPERLINK("https://ota.tournamentsoftware.com/player-profile/85787F1F-708B-4576-AEFA-F82C6105B16E", "Link")</f>
        <v>Link</v>
      </c>
      <c r="E954" s="2">
        <v>31.234000000000002</v>
      </c>
      <c r="F954" s="3">
        <v>18</v>
      </c>
      <c r="G954" t="s">
        <v>20</v>
      </c>
      <c r="H954" t="s">
        <v>1822</v>
      </c>
      <c r="I954">
        <v>35.6</v>
      </c>
      <c r="J954" s="3">
        <v>143</v>
      </c>
      <c r="K954" t="s">
        <v>2475</v>
      </c>
      <c r="L954" t="s">
        <v>2476</v>
      </c>
      <c r="M954" s="4">
        <v>0.56999999999999995</v>
      </c>
      <c r="N954" s="4">
        <v>0.68</v>
      </c>
    </row>
    <row r="955" spans="1:14" x14ac:dyDescent="0.4">
      <c r="A955">
        <v>954</v>
      </c>
      <c r="B955">
        <v>2014</v>
      </c>
      <c r="C955" t="s">
        <v>2477</v>
      </c>
      <c r="D955" t="str">
        <f>HYPERLINK("https://ota.tournamentsoftware.com/player-profile/3994748B-2ED2-4F57-8907-B1AE9B874F9B", "Link")</f>
        <v>Link</v>
      </c>
      <c r="E955" s="2">
        <v>31.05</v>
      </c>
      <c r="F955" s="3">
        <v>3</v>
      </c>
      <c r="G955" t="s">
        <v>29</v>
      </c>
      <c r="H955" t="s">
        <v>796</v>
      </c>
      <c r="I955">
        <v>37.6</v>
      </c>
      <c r="J955" s="3">
        <v>49</v>
      </c>
      <c r="K955" t="s">
        <v>2478</v>
      </c>
      <c r="L955" t="s">
        <v>2479</v>
      </c>
      <c r="M955" s="4">
        <v>0.37</v>
      </c>
      <c r="N955" s="4">
        <v>0.69</v>
      </c>
    </row>
    <row r="956" spans="1:14" x14ac:dyDescent="0.4">
      <c r="A956">
        <v>955</v>
      </c>
      <c r="B956">
        <v>2014</v>
      </c>
      <c r="C956" t="s">
        <v>2480</v>
      </c>
      <c r="D956" t="str">
        <f>HYPERLINK("https://ota.tournamentsoftware.com/player-profile/AEC8F080-693E-4608-867A-22E590A9E567", "Link")</f>
        <v>Link</v>
      </c>
      <c r="E956" s="2">
        <v>30.526</v>
      </c>
      <c r="F956" s="3">
        <v>14</v>
      </c>
      <c r="G956" t="s">
        <v>29</v>
      </c>
      <c r="H956" t="s">
        <v>141</v>
      </c>
      <c r="I956" t="s">
        <v>48</v>
      </c>
      <c r="J956" s="3">
        <v>53</v>
      </c>
      <c r="K956" t="s">
        <v>2481</v>
      </c>
      <c r="L956" t="s">
        <v>939</v>
      </c>
      <c r="M956" s="4">
        <v>0.25</v>
      </c>
      <c r="N956" s="4">
        <v>0.27</v>
      </c>
    </row>
    <row r="957" spans="1:14" x14ac:dyDescent="0.4">
      <c r="A957">
        <v>956</v>
      </c>
      <c r="B957">
        <v>2011</v>
      </c>
      <c r="C957" t="s">
        <v>2482</v>
      </c>
      <c r="D957" t="str">
        <f>HYPERLINK("https://ota.tournamentsoftware.com/player-profile/14B95DD5-B874-46E3-AF4F-A9675F0640C9", "Link")</f>
        <v>Link</v>
      </c>
      <c r="E957" s="2">
        <v>30.472999999999999</v>
      </c>
      <c r="F957" s="3">
        <v>2</v>
      </c>
      <c r="G957" t="s">
        <v>20</v>
      </c>
      <c r="H957" t="s">
        <v>1869</v>
      </c>
      <c r="I957" t="s">
        <v>48</v>
      </c>
      <c r="J957" s="3">
        <v>4</v>
      </c>
      <c r="K957" t="s">
        <v>879</v>
      </c>
      <c r="L957" t="s">
        <v>879</v>
      </c>
      <c r="M957" s="4">
        <v>0</v>
      </c>
      <c r="N957" s="4">
        <v>0</v>
      </c>
    </row>
    <row r="958" spans="1:14" x14ac:dyDescent="0.4">
      <c r="A958">
        <v>957</v>
      </c>
      <c r="B958">
        <v>2014</v>
      </c>
      <c r="C958" t="s">
        <v>2483</v>
      </c>
      <c r="D958" t="str">
        <f>HYPERLINK("https://ota.tournamentsoftware.com/player-profile/5BFCC3E7-799D-4957-B35C-26164F771CAB", "Link")</f>
        <v>Link</v>
      </c>
      <c r="E958" s="2">
        <v>29.911999999999999</v>
      </c>
      <c r="F958" s="3">
        <v>7</v>
      </c>
      <c r="G958" t="s">
        <v>29</v>
      </c>
      <c r="H958" t="s">
        <v>555</v>
      </c>
      <c r="I958">
        <v>39.200000000000003</v>
      </c>
      <c r="J958" s="3">
        <v>58</v>
      </c>
      <c r="K958" t="s">
        <v>2484</v>
      </c>
      <c r="L958" t="s">
        <v>1292</v>
      </c>
      <c r="M958" s="4">
        <v>0.34</v>
      </c>
      <c r="N958" s="4">
        <v>0.31</v>
      </c>
    </row>
    <row r="959" spans="1:14" x14ac:dyDescent="0.4">
      <c r="A959">
        <v>958</v>
      </c>
      <c r="B959">
        <v>2010</v>
      </c>
      <c r="C959" t="s">
        <v>2485</v>
      </c>
      <c r="D959" t="str">
        <f>HYPERLINK("https://ota.tournamentsoftware.com/player-profile/8161139B-078A-46DF-95DF-62B619D6DE20", "Link")</f>
        <v>Link</v>
      </c>
      <c r="E959" s="2">
        <v>29.899000000000001</v>
      </c>
      <c r="F959" s="3">
        <v>2</v>
      </c>
      <c r="G959" t="s">
        <v>20</v>
      </c>
      <c r="H959" t="s">
        <v>809</v>
      </c>
      <c r="I959">
        <v>36.200000000000003</v>
      </c>
      <c r="J959" s="3">
        <v>23</v>
      </c>
      <c r="K959" t="s">
        <v>2486</v>
      </c>
      <c r="L959" t="s">
        <v>1674</v>
      </c>
      <c r="M959" s="4">
        <v>0.26</v>
      </c>
      <c r="N959" s="4">
        <v>0.2</v>
      </c>
    </row>
    <row r="960" spans="1:14" x14ac:dyDescent="0.4">
      <c r="A960">
        <v>959</v>
      </c>
      <c r="B960">
        <v>2012</v>
      </c>
      <c r="C960" t="s">
        <v>2487</v>
      </c>
      <c r="D960" t="str">
        <f>HYPERLINK("https://ota.tournamentsoftware.com/player-profile/64BF8C80-3EDB-464A-896D-5D47CC387451", "Link")</f>
        <v>Link</v>
      </c>
      <c r="E960" s="2">
        <v>29.376000000000001</v>
      </c>
      <c r="F960" s="3">
        <v>1</v>
      </c>
      <c r="G960" t="s">
        <v>369</v>
      </c>
      <c r="H960" t="s">
        <v>2488</v>
      </c>
      <c r="I960">
        <v>40</v>
      </c>
      <c r="J960" s="3">
        <v>8</v>
      </c>
      <c r="K960" t="s">
        <v>1324</v>
      </c>
      <c r="L960" t="s">
        <v>1524</v>
      </c>
      <c r="M960" s="4">
        <v>0.12</v>
      </c>
      <c r="N960" s="4">
        <v>0</v>
      </c>
    </row>
    <row r="961" spans="1:14" x14ac:dyDescent="0.4">
      <c r="A961">
        <v>960</v>
      </c>
      <c r="B961">
        <v>2014</v>
      </c>
      <c r="C961" t="s">
        <v>2489</v>
      </c>
      <c r="D961" t="str">
        <f>HYPERLINK("https://ota.tournamentsoftware.com/player-profile/7F793D8E-41D7-4B70-87B7-9D30B32ED35F", "Link")</f>
        <v>Link</v>
      </c>
      <c r="E961" s="2">
        <v>29.367999999999999</v>
      </c>
      <c r="F961" s="3">
        <v>4</v>
      </c>
      <c r="G961" t="s">
        <v>29</v>
      </c>
      <c r="H961" t="s">
        <v>103</v>
      </c>
      <c r="I961">
        <v>39.4</v>
      </c>
      <c r="J961" s="3">
        <v>76</v>
      </c>
      <c r="K961" t="s">
        <v>2490</v>
      </c>
      <c r="L961" t="s">
        <v>879</v>
      </c>
      <c r="M961" s="4">
        <v>0.17</v>
      </c>
      <c r="N961" s="4">
        <v>0</v>
      </c>
    </row>
    <row r="962" spans="1:14" x14ac:dyDescent="0.4">
      <c r="A962">
        <v>961</v>
      </c>
      <c r="B962">
        <v>2013</v>
      </c>
      <c r="C962" t="s">
        <v>2491</v>
      </c>
      <c r="D962" t="str">
        <f>HYPERLINK("https://ota.tournamentsoftware.com/player-profile/EDCAF363-81B5-4378-83DC-E36CD3ACC539", "Link")</f>
        <v>Link</v>
      </c>
      <c r="E962" s="2">
        <v>29.163</v>
      </c>
      <c r="F962" s="3">
        <v>4</v>
      </c>
      <c r="G962" t="s">
        <v>25</v>
      </c>
      <c r="H962" t="s">
        <v>85</v>
      </c>
      <c r="I962">
        <v>37.700000000000003</v>
      </c>
      <c r="J962" s="3">
        <v>49</v>
      </c>
      <c r="K962" t="s">
        <v>2108</v>
      </c>
      <c r="L962" t="s">
        <v>31</v>
      </c>
      <c r="M962" s="4">
        <v>0.39</v>
      </c>
      <c r="N962" s="4">
        <v>0</v>
      </c>
    </row>
    <row r="963" spans="1:14" x14ac:dyDescent="0.4">
      <c r="A963">
        <v>962</v>
      </c>
      <c r="B963">
        <v>2010</v>
      </c>
      <c r="C963" t="s">
        <v>2492</v>
      </c>
      <c r="D963" t="str">
        <f>HYPERLINK("https://ota.tournamentsoftware.com/player-profile/1DFDE0A6-0759-4AB5-B19E-E85634703839", "Link")</f>
        <v>Link</v>
      </c>
      <c r="E963" s="2">
        <v>29.16</v>
      </c>
      <c r="F963" s="3">
        <v>1</v>
      </c>
      <c r="G963" t="s">
        <v>20</v>
      </c>
      <c r="H963" t="s">
        <v>2344</v>
      </c>
      <c r="I963">
        <v>23.5</v>
      </c>
      <c r="J963" s="3">
        <v>2</v>
      </c>
      <c r="K963" t="s">
        <v>523</v>
      </c>
      <c r="L963" t="s">
        <v>523</v>
      </c>
      <c r="M963" s="4">
        <v>0.5</v>
      </c>
      <c r="N963" s="4">
        <v>0.5</v>
      </c>
    </row>
    <row r="964" spans="1:14" x14ac:dyDescent="0.4">
      <c r="A964">
        <v>962</v>
      </c>
      <c r="B964">
        <v>2011</v>
      </c>
      <c r="C964" t="s">
        <v>2493</v>
      </c>
      <c r="D964" t="str">
        <f>HYPERLINK("https://ota.tournamentsoftware.com/player-profile/C76593C5-D691-49D9-8593-69FE0F5E77B7", "Link")</f>
        <v>Link</v>
      </c>
      <c r="E964" s="2">
        <v>29.16</v>
      </c>
      <c r="F964" s="3">
        <v>1</v>
      </c>
      <c r="G964" t="s">
        <v>20</v>
      </c>
      <c r="H964" t="s">
        <v>1531</v>
      </c>
      <c r="I964">
        <v>25.3</v>
      </c>
      <c r="J964" s="3">
        <v>2</v>
      </c>
      <c r="K964" t="s">
        <v>523</v>
      </c>
      <c r="L964" t="s">
        <v>523</v>
      </c>
      <c r="M964" s="4">
        <v>0.5</v>
      </c>
      <c r="N964" s="4">
        <v>0.5</v>
      </c>
    </row>
    <row r="965" spans="1:14" x14ac:dyDescent="0.4">
      <c r="A965">
        <v>964</v>
      </c>
      <c r="B965">
        <v>2016</v>
      </c>
      <c r="C965" t="s">
        <v>2494</v>
      </c>
      <c r="D965" t="str">
        <f>HYPERLINK("https://ota.tournamentsoftware.com/player-profile/E7A43ABD-96E4-46C3-84A5-BAF14D846E4C", "Link")</f>
        <v>Link</v>
      </c>
      <c r="E965" s="2">
        <v>29.157</v>
      </c>
      <c r="F965" s="3">
        <v>7</v>
      </c>
      <c r="G965" t="s">
        <v>29</v>
      </c>
      <c r="H965" t="s">
        <v>199</v>
      </c>
      <c r="I965">
        <v>37.299999999999997</v>
      </c>
      <c r="J965" s="3">
        <v>98</v>
      </c>
      <c r="K965" t="s">
        <v>2495</v>
      </c>
      <c r="L965" t="s">
        <v>979</v>
      </c>
      <c r="M965" s="4">
        <v>0.32</v>
      </c>
      <c r="N965" s="4">
        <v>0.54</v>
      </c>
    </row>
    <row r="966" spans="1:14" x14ac:dyDescent="0.4">
      <c r="A966">
        <v>965</v>
      </c>
      <c r="B966">
        <v>2015</v>
      </c>
      <c r="C966" t="s">
        <v>2496</v>
      </c>
      <c r="D966" t="str">
        <f>HYPERLINK("https://ota.tournamentsoftware.com/player-profile/D53FD847-C5AE-41A6-BFB8-EE8B251EDFBF", "Link")</f>
        <v>Link</v>
      </c>
      <c r="E966" s="2">
        <v>29.111000000000001</v>
      </c>
      <c r="F966" s="3">
        <v>7</v>
      </c>
      <c r="G966" t="s">
        <v>29</v>
      </c>
      <c r="H966" t="s">
        <v>2497</v>
      </c>
      <c r="I966">
        <v>38.1</v>
      </c>
      <c r="J966" s="3">
        <v>77</v>
      </c>
      <c r="K966" t="s">
        <v>2498</v>
      </c>
      <c r="L966" t="s">
        <v>1625</v>
      </c>
      <c r="M966" s="4">
        <v>0.26</v>
      </c>
      <c r="N966" s="4">
        <v>0.33</v>
      </c>
    </row>
    <row r="967" spans="1:14" x14ac:dyDescent="0.4">
      <c r="A967">
        <v>966</v>
      </c>
      <c r="B967">
        <v>2014</v>
      </c>
      <c r="C967" t="s">
        <v>2499</v>
      </c>
      <c r="D967" t="str">
        <f>HYPERLINK("https://ota.tournamentsoftware.com/player-profile/04DE0A72-CDB6-4637-88E8-378348327654", "Link")</f>
        <v>Link</v>
      </c>
      <c r="E967" s="2">
        <v>28.855</v>
      </c>
      <c r="F967" s="3">
        <v>7</v>
      </c>
      <c r="G967" t="s">
        <v>25</v>
      </c>
      <c r="H967" t="s">
        <v>16</v>
      </c>
      <c r="I967">
        <v>39.1</v>
      </c>
      <c r="J967" s="3">
        <v>41</v>
      </c>
      <c r="K967" t="s">
        <v>2500</v>
      </c>
      <c r="L967" t="s">
        <v>1554</v>
      </c>
      <c r="M967" s="4">
        <v>7.0000000000000007E-2</v>
      </c>
      <c r="N967" s="4">
        <v>0.33</v>
      </c>
    </row>
    <row r="968" spans="1:14" x14ac:dyDescent="0.4">
      <c r="A968">
        <v>967</v>
      </c>
      <c r="B968">
        <v>2015</v>
      </c>
      <c r="C968" t="s">
        <v>2501</v>
      </c>
      <c r="D968" t="str">
        <f>HYPERLINK("https://ota.tournamentsoftware.com/player-profile/E9A72281-6B76-4B36-9040-E802436447FA", "Link")</f>
        <v>Link</v>
      </c>
      <c r="E968" s="2">
        <v>28.824000000000002</v>
      </c>
      <c r="F968" s="3">
        <v>6</v>
      </c>
      <c r="G968" t="s">
        <v>29</v>
      </c>
      <c r="H968" t="s">
        <v>2124</v>
      </c>
      <c r="I968">
        <v>37.799999999999997</v>
      </c>
      <c r="J968" s="3">
        <v>86</v>
      </c>
      <c r="K968" t="s">
        <v>2502</v>
      </c>
      <c r="L968" t="s">
        <v>1120</v>
      </c>
      <c r="M968" s="4">
        <v>0.53</v>
      </c>
      <c r="N968" s="4">
        <v>0.4</v>
      </c>
    </row>
    <row r="969" spans="1:14" x14ac:dyDescent="0.4">
      <c r="A969">
        <v>968</v>
      </c>
      <c r="B969">
        <v>2016</v>
      </c>
      <c r="C969" t="s">
        <v>2503</v>
      </c>
      <c r="D969" t="str">
        <f>HYPERLINK("https://ota.tournamentsoftware.com/player-profile/87C92774-21A4-4A46-97F9-D656FA91A212", "Link")</f>
        <v>Link</v>
      </c>
      <c r="E969" s="2">
        <v>28.8</v>
      </c>
      <c r="F969" s="3">
        <v>5</v>
      </c>
      <c r="G969" t="s">
        <v>29</v>
      </c>
      <c r="H969" t="s">
        <v>163</v>
      </c>
      <c r="I969">
        <v>37.299999999999997</v>
      </c>
      <c r="J969" s="3">
        <v>87</v>
      </c>
      <c r="K969" t="s">
        <v>2504</v>
      </c>
      <c r="L969" t="s">
        <v>543</v>
      </c>
      <c r="M969" s="4">
        <v>0.46</v>
      </c>
      <c r="N969" s="4">
        <v>0.5</v>
      </c>
    </row>
    <row r="970" spans="1:14" x14ac:dyDescent="0.4">
      <c r="A970">
        <v>969</v>
      </c>
      <c r="B970">
        <v>2013</v>
      </c>
      <c r="C970" t="s">
        <v>2505</v>
      </c>
      <c r="D970" t="str">
        <f>HYPERLINK("https://ota.tournamentsoftware.com/player-profile/59B34621-D499-450A-BDB3-B38C363BEAD1", "Link")</f>
        <v>Link</v>
      </c>
      <c r="E970" s="2">
        <v>28.481000000000002</v>
      </c>
      <c r="F970" s="3">
        <v>1</v>
      </c>
      <c r="G970" t="s">
        <v>29</v>
      </c>
      <c r="H970" t="s">
        <v>364</v>
      </c>
      <c r="I970">
        <v>34</v>
      </c>
      <c r="J970" s="3">
        <v>1</v>
      </c>
      <c r="K970" t="s">
        <v>2506</v>
      </c>
      <c r="L970" t="s">
        <v>2506</v>
      </c>
      <c r="M970" s="4">
        <v>1</v>
      </c>
      <c r="N970" s="4">
        <v>1</v>
      </c>
    </row>
    <row r="971" spans="1:14" x14ac:dyDescent="0.4">
      <c r="A971">
        <v>970</v>
      </c>
      <c r="B971">
        <v>2011</v>
      </c>
      <c r="C971" t="s">
        <v>2507</v>
      </c>
      <c r="D971" t="str">
        <f>HYPERLINK("https://ota.tournamentsoftware.com/player-profile/FDCC8D90-1A2B-4B92-9671-1E018EB65C0E", "Link")</f>
        <v>Link</v>
      </c>
      <c r="E971" s="2">
        <v>28.44</v>
      </c>
      <c r="F971" s="3">
        <v>2</v>
      </c>
      <c r="G971" t="s">
        <v>29</v>
      </c>
      <c r="H971" t="s">
        <v>528</v>
      </c>
      <c r="I971">
        <v>36.5</v>
      </c>
      <c r="J971" s="3">
        <v>22</v>
      </c>
      <c r="K971" t="s">
        <v>2060</v>
      </c>
      <c r="L971" t="s">
        <v>1721</v>
      </c>
      <c r="M971" s="4">
        <v>0.09</v>
      </c>
      <c r="N971" s="4">
        <v>0</v>
      </c>
    </row>
    <row r="972" spans="1:14" x14ac:dyDescent="0.4">
      <c r="A972">
        <v>971</v>
      </c>
      <c r="B972">
        <v>2013</v>
      </c>
      <c r="C972" t="s">
        <v>2508</v>
      </c>
      <c r="D972" t="str">
        <f>HYPERLINK("https://ota.tournamentsoftware.com/player-profile/24E638E5-93ED-46F3-95E6-F944EA4EAAE7", "Link")</f>
        <v>Link</v>
      </c>
      <c r="E972" s="2">
        <v>28.425000000000001</v>
      </c>
      <c r="F972" s="3">
        <v>3</v>
      </c>
      <c r="G972" t="s">
        <v>109</v>
      </c>
      <c r="H972" t="s">
        <v>1958</v>
      </c>
      <c r="I972">
        <v>31.9</v>
      </c>
      <c r="J972" s="3">
        <v>6</v>
      </c>
      <c r="K972" t="s">
        <v>1407</v>
      </c>
      <c r="L972" t="s">
        <v>1407</v>
      </c>
      <c r="M972" s="4">
        <v>0.5</v>
      </c>
      <c r="N972" s="4">
        <v>0.5</v>
      </c>
    </row>
    <row r="973" spans="1:14" x14ac:dyDescent="0.4">
      <c r="A973">
        <v>972</v>
      </c>
      <c r="B973">
        <v>2016</v>
      </c>
      <c r="C973" t="s">
        <v>2509</v>
      </c>
      <c r="D973" t="str">
        <f>HYPERLINK("https://ota.tournamentsoftware.com/player-profile/65435931-BBD0-46BD-839E-4188787640BE", "Link")</f>
        <v>Link</v>
      </c>
      <c r="E973" s="2">
        <v>28.367999999999999</v>
      </c>
      <c r="F973" s="3">
        <v>6</v>
      </c>
      <c r="G973" t="s">
        <v>29</v>
      </c>
      <c r="H973" t="s">
        <v>640</v>
      </c>
      <c r="I973">
        <v>35.1</v>
      </c>
      <c r="J973" s="3">
        <v>81</v>
      </c>
      <c r="K973" t="s">
        <v>2510</v>
      </c>
      <c r="L973" t="s">
        <v>1491</v>
      </c>
      <c r="M973" s="4">
        <v>0.52</v>
      </c>
      <c r="N973" s="4">
        <v>0.65</v>
      </c>
    </row>
    <row r="974" spans="1:14" x14ac:dyDescent="0.4">
      <c r="A974">
        <v>973</v>
      </c>
      <c r="B974">
        <v>2013</v>
      </c>
      <c r="C974" t="s">
        <v>2511</v>
      </c>
      <c r="D974" t="str">
        <f>HYPERLINK("https://ota.tournamentsoftware.com/player-profile/09E8E557-02B1-46EF-87E8-A28C42A56E9D", "Link")</f>
        <v>Link</v>
      </c>
      <c r="E974" s="2">
        <v>28.297999999999998</v>
      </c>
      <c r="F974" s="3">
        <v>3</v>
      </c>
      <c r="G974" t="s">
        <v>20</v>
      </c>
      <c r="H974" t="s">
        <v>809</v>
      </c>
      <c r="I974">
        <v>32.4</v>
      </c>
      <c r="J974" s="3">
        <v>39</v>
      </c>
      <c r="K974" t="s">
        <v>376</v>
      </c>
      <c r="L974" t="s">
        <v>31</v>
      </c>
      <c r="M974" s="4">
        <v>0.59</v>
      </c>
      <c r="N974" s="4">
        <v>0</v>
      </c>
    </row>
    <row r="975" spans="1:14" x14ac:dyDescent="0.4">
      <c r="A975">
        <v>974</v>
      </c>
      <c r="B975">
        <v>2016</v>
      </c>
      <c r="C975" t="s">
        <v>2512</v>
      </c>
      <c r="D975" t="str">
        <f>HYPERLINK("https://ota.tournamentsoftware.com/player-profile/25362040-6649-44FF-A97B-DDFA8FFF0B73", "Link")</f>
        <v>Link</v>
      </c>
      <c r="E975" s="2">
        <v>27.991</v>
      </c>
      <c r="F975" s="3">
        <v>3</v>
      </c>
      <c r="G975" t="s">
        <v>25</v>
      </c>
      <c r="H975" t="s">
        <v>311</v>
      </c>
      <c r="I975">
        <v>34.4</v>
      </c>
      <c r="J975" s="3">
        <v>65</v>
      </c>
      <c r="K975" t="s">
        <v>2513</v>
      </c>
      <c r="L975" t="s">
        <v>1174</v>
      </c>
      <c r="M975" s="4">
        <v>0.63</v>
      </c>
      <c r="N975" s="4">
        <v>0.56000000000000005</v>
      </c>
    </row>
    <row r="976" spans="1:14" x14ac:dyDescent="0.4">
      <c r="A976">
        <v>975</v>
      </c>
      <c r="B976">
        <v>2013</v>
      </c>
      <c r="C976" t="s">
        <v>2514</v>
      </c>
      <c r="D976" t="str">
        <f>HYPERLINK("https://ota.tournamentsoftware.com/player-profile/278C7B40-F6F9-4402-A8BF-F8069FAF9612", "Link")</f>
        <v>Link</v>
      </c>
      <c r="E976" s="2">
        <v>27.864000000000001</v>
      </c>
      <c r="F976" s="3">
        <v>2</v>
      </c>
      <c r="G976" t="s">
        <v>29</v>
      </c>
      <c r="H976" t="s">
        <v>1075</v>
      </c>
      <c r="I976">
        <v>32</v>
      </c>
      <c r="J976" s="3">
        <v>89</v>
      </c>
      <c r="K976" t="s">
        <v>2515</v>
      </c>
      <c r="L976" t="s">
        <v>523</v>
      </c>
      <c r="M976" s="4">
        <v>0.56000000000000005</v>
      </c>
      <c r="N976" s="4">
        <v>0.5</v>
      </c>
    </row>
    <row r="977" spans="1:14" x14ac:dyDescent="0.4">
      <c r="A977">
        <v>976</v>
      </c>
      <c r="B977">
        <v>2015</v>
      </c>
      <c r="C977" t="s">
        <v>2516</v>
      </c>
      <c r="D977" t="str">
        <f>HYPERLINK("https://ota.tournamentsoftware.com/player-profile/DEF6C92A-14C0-4DEB-A4E3-22B40C75E14A", "Link")</f>
        <v>Link</v>
      </c>
      <c r="E977" s="2">
        <v>27.46</v>
      </c>
      <c r="F977" s="3">
        <v>4</v>
      </c>
      <c r="G977" t="s">
        <v>29</v>
      </c>
      <c r="H977" t="s">
        <v>640</v>
      </c>
      <c r="I977">
        <v>40</v>
      </c>
      <c r="J977" s="3">
        <v>42</v>
      </c>
      <c r="K977" t="s">
        <v>2517</v>
      </c>
      <c r="L977" t="s">
        <v>2518</v>
      </c>
      <c r="M977" s="4">
        <v>0.17</v>
      </c>
      <c r="N977" s="4">
        <v>0.09</v>
      </c>
    </row>
    <row r="978" spans="1:14" x14ac:dyDescent="0.4">
      <c r="A978">
        <v>977</v>
      </c>
      <c r="B978">
        <v>2012</v>
      </c>
      <c r="C978" t="s">
        <v>2519</v>
      </c>
      <c r="D978" t="str">
        <f>HYPERLINK("https://ota.tournamentsoftware.com/player-profile/C88BC343-3DFB-493C-85F2-14F8A90F6D68", "Link")</f>
        <v>Link</v>
      </c>
      <c r="E978" s="2">
        <v>27.439</v>
      </c>
      <c r="F978" s="3">
        <v>3</v>
      </c>
      <c r="G978" t="s">
        <v>20</v>
      </c>
      <c r="H978" t="s">
        <v>1822</v>
      </c>
      <c r="I978" t="s">
        <v>48</v>
      </c>
      <c r="J978" s="3">
        <v>33</v>
      </c>
      <c r="K978" t="s">
        <v>2520</v>
      </c>
      <c r="L978" t="s">
        <v>2125</v>
      </c>
      <c r="M978" s="4">
        <v>0.27</v>
      </c>
      <c r="N978" s="4">
        <v>0</v>
      </c>
    </row>
    <row r="979" spans="1:14" x14ac:dyDescent="0.4">
      <c r="A979">
        <v>978</v>
      </c>
      <c r="B979">
        <v>2012</v>
      </c>
      <c r="C979" t="s">
        <v>2521</v>
      </c>
      <c r="D979" t="str">
        <f>HYPERLINK("https://ota.tournamentsoftware.com/player-profile/349677AB-87B2-407B-BDFF-04EE8550EE87", "Link")</f>
        <v>Link</v>
      </c>
      <c r="E979" s="2">
        <v>27.259</v>
      </c>
      <c r="F979" s="3">
        <v>2</v>
      </c>
      <c r="G979" t="s">
        <v>29</v>
      </c>
      <c r="H979" t="s">
        <v>2522</v>
      </c>
      <c r="I979" t="s">
        <v>48</v>
      </c>
      <c r="J979" s="3">
        <v>15</v>
      </c>
      <c r="K979" t="s">
        <v>1788</v>
      </c>
      <c r="L979" t="s">
        <v>879</v>
      </c>
      <c r="M979" s="4">
        <v>0.33</v>
      </c>
      <c r="N979" s="4">
        <v>0</v>
      </c>
    </row>
    <row r="980" spans="1:14" x14ac:dyDescent="0.4">
      <c r="A980">
        <v>979</v>
      </c>
      <c r="B980">
        <v>2011</v>
      </c>
      <c r="C980" t="s">
        <v>2523</v>
      </c>
      <c r="D980" t="str">
        <f>HYPERLINK("https://ota.tournamentsoftware.com/player-profile/06019E8E-E579-43A5-9030-720E44EB3FD5", "Link")</f>
        <v>Link</v>
      </c>
      <c r="E980" s="2">
        <v>27.087</v>
      </c>
      <c r="F980" s="3">
        <v>2</v>
      </c>
      <c r="G980" t="s">
        <v>29</v>
      </c>
      <c r="H980" t="s">
        <v>1784</v>
      </c>
      <c r="I980">
        <v>29</v>
      </c>
      <c r="J980" s="3">
        <v>4</v>
      </c>
      <c r="K980" t="s">
        <v>1267</v>
      </c>
      <c r="L980" t="s">
        <v>31</v>
      </c>
      <c r="M980" s="4">
        <v>0.25</v>
      </c>
      <c r="N980" s="4">
        <v>0</v>
      </c>
    </row>
    <row r="981" spans="1:14" x14ac:dyDescent="0.4">
      <c r="A981">
        <v>980</v>
      </c>
      <c r="B981">
        <v>2012</v>
      </c>
      <c r="C981" t="s">
        <v>2524</v>
      </c>
      <c r="D981" t="str">
        <f>HYPERLINK("https://ota.tournamentsoftware.com/player-profile/B5372F0A-C15A-4DDD-A97C-9E3BACE4A05E", "Link")</f>
        <v>Link</v>
      </c>
      <c r="E981" s="2">
        <v>26.613</v>
      </c>
      <c r="F981" s="3">
        <v>2</v>
      </c>
      <c r="G981" t="s">
        <v>20</v>
      </c>
      <c r="H981" t="s">
        <v>919</v>
      </c>
      <c r="I981">
        <v>35.299999999999997</v>
      </c>
      <c r="J981" s="3">
        <v>72</v>
      </c>
      <c r="K981" t="s">
        <v>1718</v>
      </c>
      <c r="L981" t="s">
        <v>1284</v>
      </c>
      <c r="M981" s="4">
        <v>0.38</v>
      </c>
      <c r="N981" s="4">
        <v>0.33</v>
      </c>
    </row>
    <row r="982" spans="1:14" x14ac:dyDescent="0.4">
      <c r="A982">
        <v>981</v>
      </c>
      <c r="B982">
        <v>2012</v>
      </c>
      <c r="C982" t="s">
        <v>2525</v>
      </c>
      <c r="D982" t="str">
        <f>HYPERLINK("https://ota.tournamentsoftware.com/player-profile/1755679B-A50B-4F8F-B603-0578043F7638", "Link")</f>
        <v>Link</v>
      </c>
      <c r="E982" s="2">
        <v>26.611000000000001</v>
      </c>
      <c r="F982" s="3">
        <v>2</v>
      </c>
      <c r="G982" t="s">
        <v>29</v>
      </c>
      <c r="H982" t="s">
        <v>256</v>
      </c>
      <c r="I982" t="s">
        <v>48</v>
      </c>
      <c r="J982" s="3">
        <v>48</v>
      </c>
      <c r="K982" t="s">
        <v>462</v>
      </c>
      <c r="L982" t="s">
        <v>1625</v>
      </c>
      <c r="M982" s="4">
        <v>0.44</v>
      </c>
      <c r="N982" s="4">
        <v>0.33</v>
      </c>
    </row>
    <row r="983" spans="1:14" x14ac:dyDescent="0.4">
      <c r="A983">
        <v>982</v>
      </c>
      <c r="B983">
        <v>2013</v>
      </c>
      <c r="C983" t="s">
        <v>2526</v>
      </c>
      <c r="D983" t="str">
        <f>HYPERLINK("https://ota.tournamentsoftware.com/player-profile/911D4DB6-C985-4A43-8264-359A0386F2C5", "Link")</f>
        <v>Link</v>
      </c>
      <c r="E983" s="2">
        <v>26.568000000000001</v>
      </c>
      <c r="F983" s="3">
        <v>2</v>
      </c>
      <c r="G983" t="s">
        <v>25</v>
      </c>
      <c r="H983" t="s">
        <v>754</v>
      </c>
      <c r="I983" t="s">
        <v>48</v>
      </c>
      <c r="J983" s="3">
        <v>3</v>
      </c>
      <c r="K983" t="s">
        <v>1721</v>
      </c>
      <c r="L983" t="s">
        <v>1721</v>
      </c>
      <c r="M983" s="4">
        <v>0</v>
      </c>
      <c r="N983" s="4">
        <v>0</v>
      </c>
    </row>
    <row r="984" spans="1:14" x14ac:dyDescent="0.4">
      <c r="A984">
        <v>983</v>
      </c>
      <c r="B984">
        <v>2012</v>
      </c>
      <c r="C984" t="s">
        <v>2527</v>
      </c>
      <c r="D984" t="str">
        <f>HYPERLINK("https://ota.tournamentsoftware.com/player-profile/60CB93B1-F620-4737-8F49-B06F794F4103", "Link")</f>
        <v>Link</v>
      </c>
      <c r="E984" s="2">
        <v>26.425999999999998</v>
      </c>
      <c r="F984" s="3">
        <v>2</v>
      </c>
      <c r="G984" t="s">
        <v>29</v>
      </c>
      <c r="H984" t="s">
        <v>16</v>
      </c>
      <c r="I984" t="s">
        <v>48</v>
      </c>
      <c r="J984" s="3">
        <v>69</v>
      </c>
      <c r="K984" t="s">
        <v>2528</v>
      </c>
      <c r="L984" t="s">
        <v>31</v>
      </c>
      <c r="M984" s="4">
        <v>0.38</v>
      </c>
      <c r="N984" s="4">
        <v>0</v>
      </c>
    </row>
    <row r="985" spans="1:14" x14ac:dyDescent="0.4">
      <c r="A985">
        <v>984</v>
      </c>
      <c r="B985">
        <v>2012</v>
      </c>
      <c r="C985" t="s">
        <v>2529</v>
      </c>
      <c r="D985" t="str">
        <f>HYPERLINK("https://ota.tournamentsoftware.com/player-profile/2D6CC49A-BAE5-4768-9244-8FB4F1D2CABC", "Link")</f>
        <v>Link</v>
      </c>
      <c r="E985" s="2">
        <v>26.417000000000002</v>
      </c>
      <c r="F985" s="3">
        <v>5</v>
      </c>
      <c r="G985" t="s">
        <v>109</v>
      </c>
      <c r="H985" t="s">
        <v>16</v>
      </c>
      <c r="I985">
        <v>39.200000000000003</v>
      </c>
      <c r="J985" s="3">
        <v>9</v>
      </c>
      <c r="K985" t="s">
        <v>1364</v>
      </c>
      <c r="L985" t="s">
        <v>1364</v>
      </c>
      <c r="M985" s="4">
        <v>0.11</v>
      </c>
      <c r="N985" s="4">
        <v>0.11</v>
      </c>
    </row>
    <row r="986" spans="1:14" x14ac:dyDescent="0.4">
      <c r="A986">
        <v>985</v>
      </c>
      <c r="B986">
        <v>2014</v>
      </c>
      <c r="C986" t="s">
        <v>2530</v>
      </c>
      <c r="D986" t="str">
        <f>HYPERLINK("https://ota.tournamentsoftware.com/player-profile/01588371-7322-467B-AA75-DDD8230D1899", "Link")</f>
        <v>Link</v>
      </c>
      <c r="E986" s="2">
        <v>26.154</v>
      </c>
      <c r="F986" s="3">
        <v>6</v>
      </c>
      <c r="G986" t="s">
        <v>29</v>
      </c>
      <c r="H986" t="s">
        <v>256</v>
      </c>
      <c r="I986" t="s">
        <v>48</v>
      </c>
      <c r="J986" s="3">
        <v>24</v>
      </c>
      <c r="K986" t="s">
        <v>1604</v>
      </c>
      <c r="L986" t="s">
        <v>1152</v>
      </c>
      <c r="M986" s="4">
        <v>0.42</v>
      </c>
      <c r="N986" s="4">
        <v>0.48</v>
      </c>
    </row>
    <row r="987" spans="1:14" x14ac:dyDescent="0.4">
      <c r="A987">
        <v>986</v>
      </c>
      <c r="B987">
        <v>2017</v>
      </c>
      <c r="C987" t="s">
        <v>2531</v>
      </c>
      <c r="D987" t="str">
        <f>HYPERLINK("https://ota.tournamentsoftware.com/player-profile/FF881545-63C4-4D7F-B9E4-0A8D65FB9607", "Link")</f>
        <v>Link</v>
      </c>
      <c r="E987" s="2">
        <v>25.92</v>
      </c>
      <c r="F987" s="3">
        <v>5</v>
      </c>
      <c r="G987" t="s">
        <v>29</v>
      </c>
      <c r="H987" t="s">
        <v>81</v>
      </c>
      <c r="I987" t="s">
        <v>48</v>
      </c>
      <c r="J987" s="3">
        <v>91</v>
      </c>
      <c r="K987" t="s">
        <v>2532</v>
      </c>
      <c r="L987" t="s">
        <v>2263</v>
      </c>
      <c r="M987" s="4">
        <v>0.56000000000000005</v>
      </c>
      <c r="N987" s="4">
        <v>0.57999999999999996</v>
      </c>
    </row>
    <row r="988" spans="1:14" x14ac:dyDescent="0.4">
      <c r="A988">
        <v>987</v>
      </c>
      <c r="B988">
        <v>2015</v>
      </c>
      <c r="C988" t="s">
        <v>2533</v>
      </c>
      <c r="D988" t="str">
        <f>HYPERLINK("https://ota.tournamentsoftware.com/player-profile/222A5F1C-DAD0-4E2A-B035-6A15561C1E0A", "Link")</f>
        <v>Link</v>
      </c>
      <c r="E988" s="2">
        <v>25.847999999999999</v>
      </c>
      <c r="F988" s="3">
        <v>3</v>
      </c>
      <c r="G988" t="s">
        <v>25</v>
      </c>
      <c r="H988" t="s">
        <v>1562</v>
      </c>
      <c r="I988">
        <v>36.5</v>
      </c>
      <c r="J988" s="3">
        <v>11</v>
      </c>
      <c r="K988" t="s">
        <v>2385</v>
      </c>
      <c r="L988" t="s">
        <v>625</v>
      </c>
      <c r="M988" s="4">
        <v>0.55000000000000004</v>
      </c>
      <c r="N988" s="4">
        <v>0.5</v>
      </c>
    </row>
    <row r="989" spans="1:14" x14ac:dyDescent="0.4">
      <c r="A989">
        <v>988</v>
      </c>
      <c r="B989">
        <v>2015</v>
      </c>
      <c r="C989" t="s">
        <v>2534</v>
      </c>
      <c r="D989" t="str">
        <f>HYPERLINK("https://ota.tournamentsoftware.com/player-profile/78173253-32AB-4E0D-8618-AEF874C973EC", "Link")</f>
        <v>Link</v>
      </c>
      <c r="E989" s="2">
        <v>25.745999999999999</v>
      </c>
      <c r="F989" s="3">
        <v>11</v>
      </c>
      <c r="G989" t="s">
        <v>20</v>
      </c>
      <c r="H989" t="s">
        <v>900</v>
      </c>
      <c r="I989">
        <v>39.299999999999997</v>
      </c>
      <c r="J989" s="3">
        <v>46</v>
      </c>
      <c r="K989" t="s">
        <v>2535</v>
      </c>
      <c r="L989" t="s">
        <v>2536</v>
      </c>
      <c r="M989" s="4">
        <v>0.41</v>
      </c>
      <c r="N989" s="4">
        <v>0.42</v>
      </c>
    </row>
    <row r="990" spans="1:14" x14ac:dyDescent="0.4">
      <c r="A990">
        <v>989</v>
      </c>
      <c r="B990">
        <v>2012</v>
      </c>
      <c r="C990" t="s">
        <v>2537</v>
      </c>
      <c r="D990" t="str">
        <f>HYPERLINK("https://ota.tournamentsoftware.com/player-profile/5981FBA6-1FF9-4CF8-8DE2-DDB8BFEA4094", "Link")</f>
        <v>Link</v>
      </c>
      <c r="E990" s="2">
        <v>25.530999999999999</v>
      </c>
      <c r="F990" s="3">
        <v>2</v>
      </c>
      <c r="G990" t="s">
        <v>29</v>
      </c>
      <c r="H990" t="s">
        <v>1784</v>
      </c>
      <c r="I990" t="s">
        <v>48</v>
      </c>
      <c r="J990" s="3">
        <v>16</v>
      </c>
      <c r="K990" t="s">
        <v>1292</v>
      </c>
      <c r="L990" t="s">
        <v>523</v>
      </c>
      <c r="M990" s="4">
        <v>0.31</v>
      </c>
      <c r="N990" s="4">
        <v>0.5</v>
      </c>
    </row>
    <row r="991" spans="1:14" x14ac:dyDescent="0.4">
      <c r="A991">
        <v>990</v>
      </c>
      <c r="B991">
        <v>2010</v>
      </c>
      <c r="C991" t="s">
        <v>2538</v>
      </c>
      <c r="D991" t="str">
        <f>HYPERLINK("https://ota.tournamentsoftware.com/player-profile/56CE67CB-3B30-4CF8-BA6D-006F3FA42E69", "Link")</f>
        <v>Link</v>
      </c>
      <c r="E991" s="2">
        <v>25.452000000000002</v>
      </c>
      <c r="F991" s="3">
        <v>1</v>
      </c>
      <c r="G991" t="s">
        <v>29</v>
      </c>
      <c r="H991" t="s">
        <v>2539</v>
      </c>
      <c r="I991">
        <v>34.1</v>
      </c>
      <c r="J991" s="3">
        <v>10</v>
      </c>
      <c r="K991" t="s">
        <v>1270</v>
      </c>
      <c r="L991" t="s">
        <v>31</v>
      </c>
      <c r="M991" s="4">
        <v>0.6</v>
      </c>
      <c r="N991" s="4">
        <v>0</v>
      </c>
    </row>
    <row r="992" spans="1:14" x14ac:dyDescent="0.4">
      <c r="A992">
        <v>991</v>
      </c>
      <c r="B992">
        <v>2014</v>
      </c>
      <c r="C992" t="s">
        <v>2540</v>
      </c>
      <c r="D992" t="str">
        <f>HYPERLINK("https://ota.tournamentsoftware.com/player-profile/1F3E9C6C-8AD9-4B0B-B88C-410B372DBAF5", "Link")</f>
        <v>Link</v>
      </c>
      <c r="E992" s="2">
        <v>25.266999999999999</v>
      </c>
      <c r="F992" s="3">
        <v>6</v>
      </c>
      <c r="G992" t="s">
        <v>29</v>
      </c>
      <c r="H992" t="s">
        <v>916</v>
      </c>
      <c r="I992">
        <v>37.700000000000003</v>
      </c>
      <c r="J992" s="3">
        <v>36</v>
      </c>
      <c r="K992" t="s">
        <v>653</v>
      </c>
      <c r="L992" t="s">
        <v>1416</v>
      </c>
      <c r="M992" s="4">
        <v>0.5</v>
      </c>
      <c r="N992" s="4">
        <v>0.42</v>
      </c>
    </row>
    <row r="993" spans="1:14" x14ac:dyDescent="0.4">
      <c r="A993">
        <v>992</v>
      </c>
      <c r="B993">
        <v>2014</v>
      </c>
      <c r="C993" t="s">
        <v>2541</v>
      </c>
      <c r="D993" t="str">
        <f>HYPERLINK("https://ota.tournamentsoftware.com/player-profile/BE8F67EB-3C85-4EE8-8915-58C34DCD86C7", "Link")</f>
        <v>Link</v>
      </c>
      <c r="E993" s="2">
        <v>25.17</v>
      </c>
      <c r="F993" s="3">
        <v>3</v>
      </c>
      <c r="G993" t="s">
        <v>29</v>
      </c>
      <c r="H993" t="s">
        <v>2003</v>
      </c>
      <c r="I993">
        <v>34.799999999999997</v>
      </c>
      <c r="J993" s="3">
        <v>16</v>
      </c>
      <c r="K993" t="s">
        <v>1292</v>
      </c>
      <c r="L993" t="s">
        <v>2462</v>
      </c>
      <c r="M993" s="4">
        <v>0.31</v>
      </c>
      <c r="N993" s="4">
        <v>0.67</v>
      </c>
    </row>
    <row r="994" spans="1:14" x14ac:dyDescent="0.4">
      <c r="A994">
        <v>993</v>
      </c>
      <c r="B994">
        <v>2010</v>
      </c>
      <c r="C994" t="s">
        <v>2542</v>
      </c>
      <c r="D994" t="str">
        <f>HYPERLINK("https://ota.tournamentsoftware.com/player-profile/8111F542-F783-49FD-A633-B6F9252B77B7", "Link")</f>
        <v>Link</v>
      </c>
      <c r="E994" s="2">
        <v>25.044</v>
      </c>
      <c r="F994" s="3">
        <v>1</v>
      </c>
      <c r="G994" t="s">
        <v>20</v>
      </c>
      <c r="H994" t="s">
        <v>264</v>
      </c>
      <c r="I994">
        <v>31</v>
      </c>
      <c r="J994" s="3">
        <v>32</v>
      </c>
      <c r="K994" t="s">
        <v>2543</v>
      </c>
      <c r="L994" t="s">
        <v>1284</v>
      </c>
      <c r="M994" s="4">
        <v>0.62</v>
      </c>
      <c r="N994" s="4">
        <v>0.33</v>
      </c>
    </row>
    <row r="995" spans="1:14" x14ac:dyDescent="0.4">
      <c r="A995">
        <v>994</v>
      </c>
      <c r="B995">
        <v>2014</v>
      </c>
      <c r="C995" t="s">
        <v>2544</v>
      </c>
      <c r="D995" t="str">
        <f>HYPERLINK("https://ota.tournamentsoftware.com/player-profile/CF345FA9-9F2F-4BDB-8B66-131A15D8B231", "Link")</f>
        <v>Link</v>
      </c>
      <c r="E995" s="2">
        <v>24.832000000000001</v>
      </c>
      <c r="F995" s="3">
        <v>3</v>
      </c>
      <c r="G995" t="s">
        <v>29</v>
      </c>
      <c r="H995" t="s">
        <v>364</v>
      </c>
      <c r="I995">
        <v>38.5</v>
      </c>
      <c r="J995" s="3">
        <v>15</v>
      </c>
      <c r="K995" t="s">
        <v>717</v>
      </c>
      <c r="L995" t="s">
        <v>1267</v>
      </c>
      <c r="M995" s="4">
        <v>0.27</v>
      </c>
      <c r="N995" s="4">
        <v>0.25</v>
      </c>
    </row>
    <row r="996" spans="1:14" x14ac:dyDescent="0.4">
      <c r="A996">
        <v>995</v>
      </c>
      <c r="B996">
        <v>2016</v>
      </c>
      <c r="C996" t="s">
        <v>2545</v>
      </c>
      <c r="D996" t="str">
        <f>HYPERLINK("https://ota.tournamentsoftware.com/player-profile/DD46DDC2-A0FA-4A57-9C2B-207D02D3DFB6", "Link")</f>
        <v>Link</v>
      </c>
      <c r="E996" s="2">
        <v>24.6</v>
      </c>
      <c r="F996" s="3">
        <v>6</v>
      </c>
      <c r="G996" t="s">
        <v>29</v>
      </c>
      <c r="H996" t="s">
        <v>141</v>
      </c>
      <c r="I996">
        <v>39</v>
      </c>
      <c r="J996" s="3">
        <v>55</v>
      </c>
      <c r="K996" t="s">
        <v>2546</v>
      </c>
      <c r="L996" t="s">
        <v>2546</v>
      </c>
      <c r="M996" s="4">
        <v>0.4</v>
      </c>
      <c r="N996" s="4">
        <v>0.4</v>
      </c>
    </row>
    <row r="997" spans="1:14" x14ac:dyDescent="0.4">
      <c r="A997">
        <v>996</v>
      </c>
      <c r="B997">
        <v>2015</v>
      </c>
      <c r="C997" t="s">
        <v>2547</v>
      </c>
      <c r="D997" t="str">
        <f>HYPERLINK("https://ota.tournamentsoftware.com/player-profile/EFC2E194-22E1-4017-A2E8-0B41E7DB9101", "Link")</f>
        <v>Link</v>
      </c>
      <c r="E997" s="2">
        <v>24.283999999999999</v>
      </c>
      <c r="F997" s="3">
        <v>6</v>
      </c>
      <c r="G997" t="s">
        <v>29</v>
      </c>
      <c r="H997" t="s">
        <v>16</v>
      </c>
      <c r="I997">
        <v>37.299999999999997</v>
      </c>
      <c r="J997" s="3">
        <v>52</v>
      </c>
      <c r="K997" t="s">
        <v>2548</v>
      </c>
      <c r="L997" t="s">
        <v>1354</v>
      </c>
      <c r="M997" s="4">
        <v>0.4</v>
      </c>
      <c r="N997" s="4">
        <v>0.25</v>
      </c>
    </row>
    <row r="998" spans="1:14" x14ac:dyDescent="0.4">
      <c r="A998">
        <v>997</v>
      </c>
      <c r="B998">
        <v>2012</v>
      </c>
      <c r="C998" t="s">
        <v>2549</v>
      </c>
      <c r="D998" t="str">
        <f>HYPERLINK("https://ota.tournamentsoftware.com/player-profile/0A97F4BF-4260-46FD-AB50-BFA06A31A239", "Link")</f>
        <v>Link</v>
      </c>
      <c r="E998" s="2">
        <v>24.088999999999999</v>
      </c>
      <c r="F998" s="3">
        <v>2</v>
      </c>
      <c r="G998" t="s">
        <v>29</v>
      </c>
      <c r="H998" t="s">
        <v>1400</v>
      </c>
      <c r="I998">
        <v>37.200000000000003</v>
      </c>
      <c r="J998" s="3">
        <v>32</v>
      </c>
      <c r="K998" t="s">
        <v>1220</v>
      </c>
      <c r="L998" t="s">
        <v>892</v>
      </c>
      <c r="M998" s="4">
        <v>0.38</v>
      </c>
      <c r="N998" s="4">
        <v>0.5</v>
      </c>
    </row>
    <row r="999" spans="1:14" x14ac:dyDescent="0.4">
      <c r="A999">
        <v>998</v>
      </c>
      <c r="B999">
        <v>2011</v>
      </c>
      <c r="C999" t="s">
        <v>2550</v>
      </c>
      <c r="D999" t="str">
        <f>HYPERLINK("https://ota.tournamentsoftware.com/player-profile/83748E75-AB8B-4901-81B8-3B9D20DE0C6B", "Link")</f>
        <v>Link</v>
      </c>
      <c r="E999" s="2">
        <v>24.013999999999999</v>
      </c>
      <c r="F999" s="3">
        <v>1</v>
      </c>
      <c r="G999" t="s">
        <v>29</v>
      </c>
      <c r="H999" t="s">
        <v>555</v>
      </c>
      <c r="I999">
        <v>37.700000000000003</v>
      </c>
      <c r="J999" s="3">
        <v>18</v>
      </c>
      <c r="K999" t="s">
        <v>2551</v>
      </c>
      <c r="L999" t="s">
        <v>523</v>
      </c>
      <c r="M999" s="4">
        <v>0.17</v>
      </c>
      <c r="N999" s="4">
        <v>0.5</v>
      </c>
    </row>
    <row r="1000" spans="1:14" x14ac:dyDescent="0.4">
      <c r="A1000">
        <v>999</v>
      </c>
      <c r="B1000">
        <v>2010</v>
      </c>
      <c r="C1000" t="s">
        <v>2552</v>
      </c>
      <c r="D1000" t="str">
        <f>HYPERLINK("https://ota.tournamentsoftware.com/player-profile/39E7F248-1544-4C1A-9C4E-84F8D3142861", "Link")</f>
        <v>Link</v>
      </c>
      <c r="E1000" s="2">
        <v>23.838999999999999</v>
      </c>
      <c r="F1000" s="3">
        <v>2</v>
      </c>
      <c r="G1000" t="s">
        <v>29</v>
      </c>
      <c r="H1000" t="s">
        <v>484</v>
      </c>
      <c r="I1000">
        <v>37.700000000000003</v>
      </c>
      <c r="J1000" s="3">
        <v>21</v>
      </c>
      <c r="K1000" t="s">
        <v>517</v>
      </c>
      <c r="L1000" t="s">
        <v>2506</v>
      </c>
      <c r="M1000" s="4">
        <v>0.38</v>
      </c>
      <c r="N1000" s="4">
        <v>1</v>
      </c>
    </row>
    <row r="1001" spans="1:14" x14ac:dyDescent="0.4">
      <c r="A1001">
        <v>1000</v>
      </c>
      <c r="B1001">
        <v>2010</v>
      </c>
      <c r="C1001" t="s">
        <v>2553</v>
      </c>
      <c r="D1001" t="str">
        <f>HYPERLINK("https://ota.tournamentsoftware.com/player-profile/0DA2F1FA-2CFC-4CCA-9E4E-AA5A0EAFB508", "Link")</f>
        <v>Link</v>
      </c>
      <c r="E1001" s="2">
        <v>23.76</v>
      </c>
      <c r="F1001" s="3">
        <v>2</v>
      </c>
      <c r="G1001" t="s">
        <v>173</v>
      </c>
      <c r="H1001" t="s">
        <v>174</v>
      </c>
      <c r="I1001">
        <v>35.200000000000003</v>
      </c>
      <c r="J1001" s="3">
        <v>23</v>
      </c>
      <c r="K1001" t="s">
        <v>2294</v>
      </c>
      <c r="L1001" t="s">
        <v>1524</v>
      </c>
      <c r="M1001" s="4">
        <v>0.39</v>
      </c>
      <c r="N1001" s="4">
        <v>0</v>
      </c>
    </row>
    <row r="1002" spans="1:14" x14ac:dyDescent="0.4">
      <c r="A1002">
        <v>1001</v>
      </c>
      <c r="B1002">
        <v>2015</v>
      </c>
      <c r="C1002" t="s">
        <v>2554</v>
      </c>
      <c r="D1002" t="str">
        <f>HYPERLINK("https://ota.tournamentsoftware.com/player-profile/6F22C01B-A1B6-4624-8606-C4D0FEB24026", "Link")</f>
        <v>Link</v>
      </c>
      <c r="E1002" s="2">
        <v>23.545999999999999</v>
      </c>
      <c r="F1002" s="3">
        <v>2</v>
      </c>
      <c r="G1002" t="s">
        <v>25</v>
      </c>
      <c r="H1002" t="s">
        <v>16</v>
      </c>
      <c r="I1002" t="s">
        <v>48</v>
      </c>
      <c r="J1002" s="3">
        <v>13</v>
      </c>
      <c r="K1002" t="s">
        <v>1287</v>
      </c>
      <c r="L1002" t="s">
        <v>433</v>
      </c>
      <c r="M1002" s="4">
        <v>0.15</v>
      </c>
      <c r="N1002" s="4">
        <v>0</v>
      </c>
    </row>
    <row r="1003" spans="1:14" x14ac:dyDescent="0.4">
      <c r="A1003">
        <v>1002</v>
      </c>
      <c r="B1003">
        <v>2012</v>
      </c>
      <c r="C1003" t="s">
        <v>2555</v>
      </c>
      <c r="D1003" t="str">
        <f>HYPERLINK("https://ota.tournamentsoftware.com/player-profile/D6970753-702D-4123-8798-708EAC6B7E32", "Link")</f>
        <v>Link</v>
      </c>
      <c r="E1003" s="2">
        <v>23.448</v>
      </c>
      <c r="F1003" s="3">
        <v>2</v>
      </c>
      <c r="G1003" t="s">
        <v>109</v>
      </c>
      <c r="H1003" t="s">
        <v>387</v>
      </c>
      <c r="I1003">
        <v>35.1</v>
      </c>
      <c r="J1003" s="3">
        <v>12</v>
      </c>
      <c r="K1003" t="s">
        <v>892</v>
      </c>
      <c r="L1003" t="s">
        <v>892</v>
      </c>
      <c r="M1003" s="4">
        <v>0.5</v>
      </c>
      <c r="N1003" s="4">
        <v>0.5</v>
      </c>
    </row>
    <row r="1004" spans="1:14" x14ac:dyDescent="0.4">
      <c r="A1004">
        <v>1003</v>
      </c>
      <c r="B1004">
        <v>2015</v>
      </c>
      <c r="C1004" t="s">
        <v>2556</v>
      </c>
      <c r="D1004" t="str">
        <f>HYPERLINK("https://ota.tournamentsoftware.com/player-profile/84692E6B-274F-4FC9-9179-D4BC6F34FCEE", "Link")</f>
        <v>Link</v>
      </c>
      <c r="E1004" s="2">
        <v>23.207999999999998</v>
      </c>
      <c r="F1004" s="3">
        <v>4</v>
      </c>
      <c r="G1004" t="s">
        <v>29</v>
      </c>
      <c r="H1004" t="s">
        <v>374</v>
      </c>
      <c r="I1004" t="s">
        <v>48</v>
      </c>
      <c r="J1004" s="3">
        <v>50</v>
      </c>
      <c r="K1004" t="s">
        <v>2557</v>
      </c>
      <c r="L1004" t="s">
        <v>1416</v>
      </c>
      <c r="M1004" s="4">
        <v>0.36</v>
      </c>
      <c r="N1004" s="4">
        <v>0.42</v>
      </c>
    </row>
    <row r="1005" spans="1:14" x14ac:dyDescent="0.4">
      <c r="A1005">
        <v>1004</v>
      </c>
      <c r="B1005">
        <v>2015</v>
      </c>
      <c r="C1005" t="s">
        <v>2558</v>
      </c>
      <c r="D1005" t="str">
        <f>HYPERLINK("https://ota.tournamentsoftware.com/player-profile/7DE265DB-E3E6-4C4E-90BD-199DB99DCAEB", "Link")</f>
        <v>Link</v>
      </c>
      <c r="E1005" s="2">
        <v>23.186</v>
      </c>
      <c r="F1005" s="3">
        <v>5</v>
      </c>
      <c r="G1005" t="s">
        <v>25</v>
      </c>
      <c r="H1005" t="s">
        <v>289</v>
      </c>
      <c r="I1005">
        <v>38.1</v>
      </c>
      <c r="J1005" s="3">
        <v>27</v>
      </c>
      <c r="K1005" t="s">
        <v>2559</v>
      </c>
      <c r="L1005" t="s">
        <v>872</v>
      </c>
      <c r="M1005" s="4">
        <v>0.26</v>
      </c>
      <c r="N1005" s="4">
        <v>0.28999999999999998</v>
      </c>
    </row>
    <row r="1006" spans="1:14" x14ac:dyDescent="0.4">
      <c r="A1006">
        <v>1005</v>
      </c>
      <c r="B1006">
        <v>2015</v>
      </c>
      <c r="C1006" t="s">
        <v>2560</v>
      </c>
      <c r="D1006" t="str">
        <f>HYPERLINK("https://ota.tournamentsoftware.com/player-profile/6AF8FC12-BD58-4E7C-B446-1CAAB9ADE85D", "Link")</f>
        <v>Link</v>
      </c>
      <c r="E1006" s="2">
        <v>23.111999999999998</v>
      </c>
      <c r="F1006" s="3">
        <v>1</v>
      </c>
      <c r="G1006" t="s">
        <v>15</v>
      </c>
      <c r="H1006" t="s">
        <v>271</v>
      </c>
      <c r="I1006">
        <v>38.1</v>
      </c>
      <c r="J1006" s="3">
        <v>32</v>
      </c>
      <c r="K1006" t="s">
        <v>2561</v>
      </c>
      <c r="L1006" t="s">
        <v>1625</v>
      </c>
      <c r="M1006" s="4">
        <v>0.16</v>
      </c>
      <c r="N1006" s="4">
        <v>0.33</v>
      </c>
    </row>
    <row r="1007" spans="1:14" x14ac:dyDescent="0.4">
      <c r="A1007">
        <v>1006</v>
      </c>
      <c r="B1007">
        <v>2014</v>
      </c>
      <c r="C1007" t="s">
        <v>2562</v>
      </c>
      <c r="D1007" t="str">
        <f>HYPERLINK("https://ota.tournamentsoftware.com/player-profile/8824FD85-93E3-4F7D-8968-FC836D77769D", "Link")</f>
        <v>Link</v>
      </c>
      <c r="E1007" s="2">
        <v>22.952999999999999</v>
      </c>
      <c r="F1007" s="3">
        <v>7</v>
      </c>
      <c r="G1007" t="s">
        <v>25</v>
      </c>
      <c r="H1007" t="s">
        <v>60</v>
      </c>
      <c r="I1007">
        <v>38.9</v>
      </c>
      <c r="J1007" s="3">
        <v>10</v>
      </c>
      <c r="K1007" t="s">
        <v>1854</v>
      </c>
      <c r="L1007" t="s">
        <v>1854</v>
      </c>
      <c r="M1007" s="4">
        <v>0.2</v>
      </c>
      <c r="N1007" s="4">
        <v>0.2</v>
      </c>
    </row>
    <row r="1008" spans="1:14" x14ac:dyDescent="0.4">
      <c r="A1008">
        <v>1007</v>
      </c>
      <c r="B1008">
        <v>2011</v>
      </c>
      <c r="C1008" t="s">
        <v>2563</v>
      </c>
      <c r="D1008" t="str">
        <f>HYPERLINK("https://ota.tournamentsoftware.com/player-profile/C8D29F5F-5E92-4FFF-926F-2B9DF37B0CB7", "Link")</f>
        <v>Link</v>
      </c>
      <c r="E1008" s="2">
        <v>22.905999999999999</v>
      </c>
      <c r="F1008" s="3">
        <v>1</v>
      </c>
      <c r="G1008" t="s">
        <v>29</v>
      </c>
      <c r="H1008" t="s">
        <v>2564</v>
      </c>
      <c r="I1008">
        <v>35.799999999999997</v>
      </c>
      <c r="J1008" s="3">
        <v>9</v>
      </c>
      <c r="K1008" t="s">
        <v>1444</v>
      </c>
      <c r="L1008" t="s">
        <v>31</v>
      </c>
      <c r="M1008" s="4">
        <v>0.22</v>
      </c>
      <c r="N1008" s="4">
        <v>0</v>
      </c>
    </row>
    <row r="1009" spans="1:14" x14ac:dyDescent="0.4">
      <c r="A1009">
        <v>1008</v>
      </c>
      <c r="B1009">
        <v>2014</v>
      </c>
      <c r="C1009" t="s">
        <v>2565</v>
      </c>
      <c r="D1009" t="str">
        <f>HYPERLINK("https://ota.tournamentsoftware.com/player-profile/FBECFAB6-3ABF-4F1B-AD1C-230CB79A1119", "Link")</f>
        <v>Link</v>
      </c>
      <c r="E1009" s="2">
        <v>22.902999999999999</v>
      </c>
      <c r="F1009" s="3">
        <v>6</v>
      </c>
      <c r="G1009" t="s">
        <v>109</v>
      </c>
      <c r="H1009" t="s">
        <v>1958</v>
      </c>
      <c r="I1009">
        <v>40</v>
      </c>
      <c r="J1009" s="3">
        <v>11</v>
      </c>
      <c r="K1009" t="s">
        <v>2566</v>
      </c>
      <c r="L1009" t="s">
        <v>1721</v>
      </c>
      <c r="M1009" s="4">
        <v>0</v>
      </c>
      <c r="N1009" s="4">
        <v>0</v>
      </c>
    </row>
    <row r="1010" spans="1:14" x14ac:dyDescent="0.4">
      <c r="A1010">
        <v>1009</v>
      </c>
      <c r="B1010">
        <v>2016</v>
      </c>
      <c r="C1010" t="s">
        <v>2567</v>
      </c>
      <c r="D1010" t="str">
        <f>HYPERLINK("https://ota.tournamentsoftware.com/player-profile/08E91FF6-D5E8-42FC-9B0D-2002B0263706", "Link")</f>
        <v>Link</v>
      </c>
      <c r="E1010" s="2">
        <v>22.896000000000001</v>
      </c>
      <c r="F1010" s="3">
        <v>4</v>
      </c>
      <c r="G1010" t="s">
        <v>173</v>
      </c>
      <c r="H1010" t="s">
        <v>174</v>
      </c>
      <c r="I1010">
        <v>36.200000000000003</v>
      </c>
      <c r="J1010" s="3">
        <v>41</v>
      </c>
      <c r="K1010" t="s">
        <v>557</v>
      </c>
      <c r="L1010" t="s">
        <v>211</v>
      </c>
      <c r="M1010" s="4">
        <v>0.59</v>
      </c>
      <c r="N1010" s="4">
        <v>0.73</v>
      </c>
    </row>
    <row r="1011" spans="1:14" x14ac:dyDescent="0.4">
      <c r="A1011">
        <v>1010</v>
      </c>
      <c r="B1011">
        <v>2015</v>
      </c>
      <c r="C1011" t="s">
        <v>2568</v>
      </c>
      <c r="D1011" t="str">
        <f>HYPERLINK("https://ota.tournamentsoftware.com/player-profile/73A707F1-78B1-45FE-A608-D2E6AA82EA8F", "Link")</f>
        <v>Link</v>
      </c>
      <c r="E1011" s="2">
        <v>22.594999999999999</v>
      </c>
      <c r="F1011" s="3">
        <v>3</v>
      </c>
      <c r="G1011" t="s">
        <v>25</v>
      </c>
      <c r="H1011" t="s">
        <v>99</v>
      </c>
      <c r="I1011" t="s">
        <v>48</v>
      </c>
      <c r="J1011" s="3">
        <v>46</v>
      </c>
      <c r="K1011" t="s">
        <v>2569</v>
      </c>
      <c r="L1011" t="s">
        <v>534</v>
      </c>
      <c r="M1011" s="4">
        <v>0.28000000000000003</v>
      </c>
      <c r="N1011" s="4">
        <v>0.56999999999999995</v>
      </c>
    </row>
    <row r="1012" spans="1:14" x14ac:dyDescent="0.4">
      <c r="A1012">
        <v>1011</v>
      </c>
      <c r="B1012">
        <v>2012</v>
      </c>
      <c r="C1012" t="s">
        <v>2570</v>
      </c>
      <c r="D1012" t="str">
        <f>HYPERLINK("https://ota.tournamentsoftware.com/player-profile/862000EB-CE8E-4CA2-BA1E-5441407CA2E5", "Link")</f>
        <v>Link</v>
      </c>
      <c r="E1012" s="2">
        <v>22.463999999999999</v>
      </c>
      <c r="F1012" s="3">
        <v>2</v>
      </c>
      <c r="G1012" t="s">
        <v>20</v>
      </c>
      <c r="H1012" t="s">
        <v>1822</v>
      </c>
      <c r="I1012">
        <v>38.5</v>
      </c>
      <c r="J1012" s="3">
        <v>7</v>
      </c>
      <c r="K1012" t="s">
        <v>872</v>
      </c>
      <c r="L1012" t="s">
        <v>1524</v>
      </c>
      <c r="M1012" s="4">
        <v>0.28999999999999998</v>
      </c>
      <c r="N1012" s="4">
        <v>0</v>
      </c>
    </row>
    <row r="1013" spans="1:14" x14ac:dyDescent="0.4">
      <c r="A1013">
        <v>1012</v>
      </c>
      <c r="B1013">
        <v>2014</v>
      </c>
      <c r="C1013" t="s">
        <v>2571</v>
      </c>
      <c r="D1013" t="str">
        <f>HYPERLINK("https://ota.tournamentsoftware.com/player-profile/F4A076BF-B4C6-4301-B22A-3E13FD483AD5", "Link")</f>
        <v>Link</v>
      </c>
      <c r="E1013" s="2">
        <v>22.405000000000001</v>
      </c>
      <c r="F1013" s="3">
        <v>3</v>
      </c>
      <c r="G1013" t="s">
        <v>29</v>
      </c>
      <c r="H1013" t="s">
        <v>1068</v>
      </c>
      <c r="I1013">
        <v>35.9</v>
      </c>
      <c r="J1013" s="3">
        <v>28</v>
      </c>
      <c r="K1013" t="s">
        <v>132</v>
      </c>
      <c r="L1013" t="s">
        <v>625</v>
      </c>
      <c r="M1013" s="4">
        <v>0.5</v>
      </c>
      <c r="N1013" s="4">
        <v>0.5</v>
      </c>
    </row>
    <row r="1014" spans="1:14" x14ac:dyDescent="0.4">
      <c r="A1014">
        <v>1013</v>
      </c>
      <c r="B1014">
        <v>2012</v>
      </c>
      <c r="C1014" t="s">
        <v>2572</v>
      </c>
      <c r="D1014" t="str">
        <f>HYPERLINK("https://ota.tournamentsoftware.com/player-profile/5289FB1D-8B94-446A-83C5-187068CE2F5D", "Link")</f>
        <v>Link</v>
      </c>
      <c r="E1014" s="2">
        <v>22.167000000000002</v>
      </c>
      <c r="F1014" s="3">
        <v>3</v>
      </c>
      <c r="G1014" t="s">
        <v>20</v>
      </c>
      <c r="H1014" t="s">
        <v>252</v>
      </c>
      <c r="I1014">
        <v>37.700000000000003</v>
      </c>
      <c r="J1014" s="3">
        <v>28</v>
      </c>
      <c r="K1014" t="s">
        <v>2573</v>
      </c>
      <c r="L1014" t="s">
        <v>1524</v>
      </c>
      <c r="M1014" s="4">
        <v>0.14000000000000001</v>
      </c>
      <c r="N1014" s="4">
        <v>0</v>
      </c>
    </row>
    <row r="1015" spans="1:14" x14ac:dyDescent="0.4">
      <c r="A1015">
        <v>1014</v>
      </c>
      <c r="B1015">
        <v>2015</v>
      </c>
      <c r="C1015" t="s">
        <v>2574</v>
      </c>
      <c r="D1015" t="str">
        <f>HYPERLINK("https://ota.tournamentsoftware.com/player-profile/05635752-0D80-4827-BA70-1CECB2BE0528", "Link")</f>
        <v>Link</v>
      </c>
      <c r="E1015" s="2">
        <v>22.12</v>
      </c>
      <c r="F1015" s="3">
        <v>4</v>
      </c>
      <c r="G1015" t="s">
        <v>25</v>
      </c>
      <c r="H1015" t="s">
        <v>311</v>
      </c>
      <c r="I1015" t="s">
        <v>48</v>
      </c>
      <c r="J1015" s="3">
        <v>64</v>
      </c>
      <c r="K1015" t="s">
        <v>1125</v>
      </c>
      <c r="L1015" t="s">
        <v>35</v>
      </c>
      <c r="M1015" s="4">
        <v>0.61</v>
      </c>
      <c r="N1015" s="4">
        <v>0.8</v>
      </c>
    </row>
    <row r="1016" spans="1:14" x14ac:dyDescent="0.4">
      <c r="A1016">
        <v>1015</v>
      </c>
      <c r="B1016">
        <v>2012</v>
      </c>
      <c r="C1016" t="s">
        <v>2575</v>
      </c>
      <c r="D1016" t="str">
        <f>HYPERLINK("https://ota.tournamentsoftware.com/player-profile/403664F3-E594-4FFF-BEC0-1AF63F2F73E4", "Link")</f>
        <v>Link</v>
      </c>
      <c r="E1016" s="2">
        <v>21.934000000000001</v>
      </c>
      <c r="F1016" s="3">
        <v>5</v>
      </c>
      <c r="G1016" t="s">
        <v>25</v>
      </c>
      <c r="H1016" t="s">
        <v>289</v>
      </c>
      <c r="I1016">
        <v>38</v>
      </c>
      <c r="J1016" s="3">
        <v>11</v>
      </c>
      <c r="K1016" t="s">
        <v>2518</v>
      </c>
      <c r="L1016" t="s">
        <v>2518</v>
      </c>
      <c r="M1016" s="4">
        <v>0.09</v>
      </c>
      <c r="N1016" s="4">
        <v>0.09</v>
      </c>
    </row>
    <row r="1017" spans="1:14" x14ac:dyDescent="0.4">
      <c r="A1017">
        <v>1016</v>
      </c>
      <c r="B1017">
        <v>2015</v>
      </c>
      <c r="C1017" t="s">
        <v>2576</v>
      </c>
      <c r="D1017" t="str">
        <f>HYPERLINK("https://ota.tournamentsoftware.com/player-profile/B25290C5-DB82-4ED0-843D-33516AFF301F", "Link")</f>
        <v>Link</v>
      </c>
      <c r="E1017" s="2">
        <v>21.645</v>
      </c>
      <c r="F1017" s="3">
        <v>4</v>
      </c>
      <c r="G1017" t="s">
        <v>29</v>
      </c>
      <c r="H1017" t="s">
        <v>2394</v>
      </c>
      <c r="I1017">
        <v>38.299999999999997</v>
      </c>
      <c r="J1017" s="3">
        <v>40</v>
      </c>
      <c r="K1017" t="s">
        <v>2577</v>
      </c>
      <c r="L1017" t="s">
        <v>2213</v>
      </c>
      <c r="M1017" s="4">
        <v>0.28000000000000003</v>
      </c>
      <c r="N1017" s="4">
        <v>0.45</v>
      </c>
    </row>
    <row r="1018" spans="1:14" x14ac:dyDescent="0.4">
      <c r="A1018">
        <v>1017</v>
      </c>
      <c r="B1018">
        <v>2014</v>
      </c>
      <c r="C1018" t="s">
        <v>2578</v>
      </c>
      <c r="D1018" t="str">
        <f>HYPERLINK("https://ota.tournamentsoftware.com/player-profile/7E2B5B8F-95C7-4374-8F7F-D60E81CAB657", "Link")</f>
        <v>Link</v>
      </c>
      <c r="E1018" s="2">
        <v>21.536999999999999</v>
      </c>
      <c r="F1018" s="3">
        <v>6</v>
      </c>
      <c r="G1018" t="s">
        <v>25</v>
      </c>
      <c r="H1018" t="s">
        <v>289</v>
      </c>
      <c r="I1018" t="s">
        <v>48</v>
      </c>
      <c r="J1018" s="3">
        <v>40</v>
      </c>
      <c r="K1018" t="s">
        <v>2579</v>
      </c>
      <c r="L1018" t="s">
        <v>625</v>
      </c>
      <c r="M1018" s="4">
        <v>0.33</v>
      </c>
      <c r="N1018" s="4">
        <v>0.5</v>
      </c>
    </row>
    <row r="1019" spans="1:14" x14ac:dyDescent="0.4">
      <c r="A1019">
        <v>1018</v>
      </c>
      <c r="B1019">
        <v>2016</v>
      </c>
      <c r="C1019" t="s">
        <v>2580</v>
      </c>
      <c r="D1019" t="str">
        <f>HYPERLINK("https://ota.tournamentsoftware.com/player-profile/76F58D78-6F14-462B-9C79-943F718FD16A", "Link")</f>
        <v>Link</v>
      </c>
      <c r="E1019" s="2">
        <v>21.501000000000001</v>
      </c>
      <c r="F1019" s="3">
        <v>9</v>
      </c>
      <c r="G1019" t="s">
        <v>20</v>
      </c>
      <c r="H1019" t="s">
        <v>127</v>
      </c>
      <c r="I1019" t="s">
        <v>48</v>
      </c>
      <c r="J1019" s="3">
        <v>200</v>
      </c>
      <c r="K1019" t="s">
        <v>2581</v>
      </c>
      <c r="L1019" t="s">
        <v>550</v>
      </c>
      <c r="M1019" s="4">
        <v>0.34</v>
      </c>
      <c r="N1019" s="4">
        <v>0.53</v>
      </c>
    </row>
    <row r="1020" spans="1:14" x14ac:dyDescent="0.4">
      <c r="A1020">
        <v>1019</v>
      </c>
      <c r="B1020">
        <v>2015</v>
      </c>
      <c r="C1020" t="s">
        <v>2582</v>
      </c>
      <c r="D1020" t="str">
        <f>HYPERLINK("https://ota.tournamentsoftware.com/player-profile/C5ECD0AF-5510-44E4-897A-6A3A4D73CDEF", "Link")</f>
        <v>Link</v>
      </c>
      <c r="E1020" s="2">
        <v>21.501000000000001</v>
      </c>
      <c r="F1020" s="3">
        <v>4</v>
      </c>
      <c r="G1020" t="s">
        <v>25</v>
      </c>
      <c r="H1020" t="s">
        <v>2583</v>
      </c>
      <c r="I1020">
        <v>40</v>
      </c>
      <c r="J1020" s="3">
        <v>25</v>
      </c>
      <c r="K1020" t="s">
        <v>2584</v>
      </c>
      <c r="L1020" t="s">
        <v>1526</v>
      </c>
      <c r="M1020" s="4">
        <v>0.16</v>
      </c>
      <c r="N1020" s="4">
        <v>0</v>
      </c>
    </row>
    <row r="1021" spans="1:14" x14ac:dyDescent="0.4">
      <c r="A1021">
        <v>1020</v>
      </c>
      <c r="B1021">
        <v>2015</v>
      </c>
      <c r="C1021" t="s">
        <v>2585</v>
      </c>
      <c r="D1021" t="str">
        <f>HYPERLINK("https://ota.tournamentsoftware.com/player-profile/EB26731B-07C8-4C3E-8214-7DD265D4A843", "Link")</f>
        <v>Link</v>
      </c>
      <c r="E1021" s="2">
        <v>21.225999999999999</v>
      </c>
      <c r="F1021" s="3">
        <v>5</v>
      </c>
      <c r="G1021" t="s">
        <v>25</v>
      </c>
      <c r="H1021" t="s">
        <v>754</v>
      </c>
      <c r="I1021">
        <v>40</v>
      </c>
      <c r="J1021" s="3">
        <v>33</v>
      </c>
      <c r="K1021" t="s">
        <v>2586</v>
      </c>
      <c r="L1021" t="s">
        <v>1364</v>
      </c>
      <c r="M1021" s="4">
        <v>0.15</v>
      </c>
      <c r="N1021" s="4">
        <v>0.11</v>
      </c>
    </row>
    <row r="1022" spans="1:14" x14ac:dyDescent="0.4">
      <c r="A1022">
        <v>1021</v>
      </c>
      <c r="B1022">
        <v>2012</v>
      </c>
      <c r="C1022" t="s">
        <v>2587</v>
      </c>
      <c r="D1022" t="str">
        <f>HYPERLINK("https://ota.tournamentsoftware.com/player-profile/E61A7837-F4EB-4DDA-B26F-2D7CE7910B80", "Link")</f>
        <v>Link</v>
      </c>
      <c r="E1022" s="2">
        <v>20.99</v>
      </c>
      <c r="F1022" s="3">
        <v>2</v>
      </c>
      <c r="G1022" t="s">
        <v>29</v>
      </c>
      <c r="H1022" t="s">
        <v>1344</v>
      </c>
      <c r="I1022" t="s">
        <v>48</v>
      </c>
      <c r="J1022" s="3">
        <v>7</v>
      </c>
      <c r="K1022" t="s">
        <v>2588</v>
      </c>
      <c r="L1022" t="s">
        <v>2588</v>
      </c>
      <c r="M1022" s="4">
        <v>0.71</v>
      </c>
      <c r="N1022" s="4">
        <v>0.71</v>
      </c>
    </row>
    <row r="1023" spans="1:14" x14ac:dyDescent="0.4">
      <c r="A1023">
        <v>1022</v>
      </c>
      <c r="B1023">
        <v>2013</v>
      </c>
      <c r="C1023" t="s">
        <v>2589</v>
      </c>
      <c r="D1023" t="str">
        <f>HYPERLINK("https://ota.tournamentsoftware.com/player-profile/0DB12770-F2FF-469C-87ED-5B5A242C6A08", "Link")</f>
        <v>Link</v>
      </c>
      <c r="E1023" s="2">
        <v>20.946000000000002</v>
      </c>
      <c r="F1023" s="3">
        <v>4</v>
      </c>
      <c r="G1023" t="s">
        <v>29</v>
      </c>
      <c r="H1023" t="s">
        <v>16</v>
      </c>
      <c r="I1023">
        <v>39.200000000000003</v>
      </c>
      <c r="J1023" s="3">
        <v>58</v>
      </c>
      <c r="K1023" t="s">
        <v>1143</v>
      </c>
      <c r="L1023" t="s">
        <v>31</v>
      </c>
      <c r="M1023" s="4">
        <v>0.19</v>
      </c>
      <c r="N1023" s="4">
        <v>0</v>
      </c>
    </row>
    <row r="1024" spans="1:14" x14ac:dyDescent="0.4">
      <c r="A1024">
        <v>1023</v>
      </c>
      <c r="B1024">
        <v>2016</v>
      </c>
      <c r="C1024" t="s">
        <v>2590</v>
      </c>
      <c r="D1024" t="str">
        <f>HYPERLINK("https://ota.tournamentsoftware.com/player-profile/D9EEB088-31A0-4FD1-A91B-A82319998935", "Link")</f>
        <v>Link</v>
      </c>
      <c r="E1024" s="2">
        <v>20.89</v>
      </c>
      <c r="F1024" s="3">
        <v>10</v>
      </c>
      <c r="G1024" t="s">
        <v>20</v>
      </c>
      <c r="H1024" t="s">
        <v>43</v>
      </c>
      <c r="I1024">
        <v>37.200000000000003</v>
      </c>
      <c r="J1024" s="3">
        <v>102</v>
      </c>
      <c r="K1024" t="s">
        <v>1154</v>
      </c>
      <c r="L1024" t="s">
        <v>1313</v>
      </c>
      <c r="M1024" s="4">
        <v>0.56999999999999995</v>
      </c>
      <c r="N1024" s="4">
        <v>0.61</v>
      </c>
    </row>
    <row r="1025" spans="1:14" x14ac:dyDescent="0.4">
      <c r="A1025">
        <v>1024</v>
      </c>
      <c r="B1025">
        <v>2013</v>
      </c>
      <c r="C1025" t="s">
        <v>2591</v>
      </c>
      <c r="D1025" t="str">
        <f>HYPERLINK("https://ota.tournamentsoftware.com/player-profile/37441797-5F95-4518-997F-3F1602AC6E85", "Link")</f>
        <v>Link</v>
      </c>
      <c r="E1025" s="2">
        <v>20.667000000000002</v>
      </c>
      <c r="F1025" s="3">
        <v>1</v>
      </c>
      <c r="G1025" t="s">
        <v>29</v>
      </c>
      <c r="H1025" t="s">
        <v>2592</v>
      </c>
      <c r="I1025" t="s">
        <v>48</v>
      </c>
      <c r="J1025" s="3">
        <v>8</v>
      </c>
      <c r="K1025" t="s">
        <v>1030</v>
      </c>
      <c r="L1025" t="s">
        <v>433</v>
      </c>
      <c r="M1025" s="4">
        <v>0.25</v>
      </c>
      <c r="N1025" s="4">
        <v>0</v>
      </c>
    </row>
    <row r="1026" spans="1:14" x14ac:dyDescent="0.4">
      <c r="A1026">
        <v>1025</v>
      </c>
      <c r="B1026">
        <v>2010</v>
      </c>
      <c r="C1026" t="s">
        <v>2593</v>
      </c>
      <c r="D1026" t="str">
        <f>HYPERLINK("https://ota.tournamentsoftware.com/player-profile/F3F26D3E-B8CC-49BE-ACB0-778B5B557F0A", "Link")</f>
        <v>Link</v>
      </c>
      <c r="E1026" s="2">
        <v>20.477</v>
      </c>
      <c r="F1026" s="3">
        <v>2</v>
      </c>
      <c r="G1026" t="s">
        <v>109</v>
      </c>
      <c r="H1026" t="s">
        <v>1451</v>
      </c>
      <c r="I1026">
        <v>35.9</v>
      </c>
      <c r="J1026" s="3">
        <v>5</v>
      </c>
      <c r="K1026" t="s">
        <v>1674</v>
      </c>
      <c r="L1026" t="s">
        <v>31</v>
      </c>
      <c r="M1026" s="4">
        <v>0.2</v>
      </c>
      <c r="N1026" s="4">
        <v>0</v>
      </c>
    </row>
    <row r="1027" spans="1:14" x14ac:dyDescent="0.4">
      <c r="A1027">
        <v>1026</v>
      </c>
      <c r="B1027">
        <v>2016</v>
      </c>
      <c r="C1027" t="s">
        <v>2594</v>
      </c>
      <c r="D1027" t="str">
        <f>HYPERLINK("https://ota.tournamentsoftware.com/player-profile/00BB4A74-B4FB-4FAC-B874-79D9E778FAAE", "Link")</f>
        <v>Link</v>
      </c>
      <c r="E1027" s="2">
        <v>20.417000000000002</v>
      </c>
      <c r="F1027" s="3">
        <v>4</v>
      </c>
      <c r="G1027" t="s">
        <v>20</v>
      </c>
      <c r="H1027" t="s">
        <v>736</v>
      </c>
      <c r="I1027">
        <v>36.9</v>
      </c>
      <c r="J1027" s="3">
        <v>48</v>
      </c>
      <c r="K1027" t="s">
        <v>2595</v>
      </c>
      <c r="L1027" t="s">
        <v>469</v>
      </c>
      <c r="M1027" s="4">
        <v>0.31</v>
      </c>
      <c r="N1027" s="4">
        <v>0.62</v>
      </c>
    </row>
    <row r="1028" spans="1:14" x14ac:dyDescent="0.4">
      <c r="A1028">
        <v>1027</v>
      </c>
      <c r="B1028">
        <v>2013</v>
      </c>
      <c r="C1028" t="s">
        <v>2596</v>
      </c>
      <c r="D1028" t="str">
        <f>HYPERLINK("https://ota.tournamentsoftware.com/player-profile/1A9DB997-6193-4975-8534-F68D4F83BF32", "Link")</f>
        <v>Link</v>
      </c>
      <c r="E1028" s="2">
        <v>20.131</v>
      </c>
      <c r="F1028" s="3">
        <v>2</v>
      </c>
      <c r="G1028" t="s">
        <v>29</v>
      </c>
      <c r="H1028" t="s">
        <v>2597</v>
      </c>
      <c r="I1028" t="s">
        <v>48</v>
      </c>
      <c r="J1028" s="3">
        <v>4</v>
      </c>
      <c r="K1028" t="s">
        <v>1267</v>
      </c>
      <c r="L1028" t="s">
        <v>1524</v>
      </c>
      <c r="M1028" s="4">
        <v>0.25</v>
      </c>
      <c r="N1028" s="4">
        <v>0</v>
      </c>
    </row>
    <row r="1029" spans="1:14" x14ac:dyDescent="0.4">
      <c r="A1029">
        <v>1028</v>
      </c>
      <c r="B1029">
        <v>2010</v>
      </c>
      <c r="C1029" t="s">
        <v>2598</v>
      </c>
      <c r="D1029" t="str">
        <f>HYPERLINK("https://ota.tournamentsoftware.com/player-profile/24625778-2BEF-4627-BCC5-DA6579C9609B", "Link")</f>
        <v>Link</v>
      </c>
      <c r="E1029" s="2">
        <v>20.088000000000001</v>
      </c>
      <c r="F1029" s="3">
        <v>1</v>
      </c>
      <c r="G1029" t="s">
        <v>20</v>
      </c>
      <c r="H1029" t="s">
        <v>16</v>
      </c>
      <c r="I1029">
        <v>38.1</v>
      </c>
      <c r="J1029" s="3">
        <v>5</v>
      </c>
      <c r="K1029" t="s">
        <v>2125</v>
      </c>
      <c r="L1029" t="s">
        <v>31</v>
      </c>
      <c r="M1029" s="4">
        <v>0</v>
      </c>
      <c r="N1029" s="4">
        <v>0</v>
      </c>
    </row>
    <row r="1030" spans="1:14" x14ac:dyDescent="0.4">
      <c r="A1030">
        <v>1029</v>
      </c>
      <c r="B1030">
        <v>2014</v>
      </c>
      <c r="C1030" t="s">
        <v>2599</v>
      </c>
      <c r="D1030" t="str">
        <f>HYPERLINK("https://ota.tournamentsoftware.com/player-profile/11AC4E6A-0B03-4BB4-ACB7-333E7FD9064F", "Link")</f>
        <v>Link</v>
      </c>
      <c r="E1030" s="2">
        <v>20.052</v>
      </c>
      <c r="F1030" s="3">
        <v>9</v>
      </c>
      <c r="G1030" t="s">
        <v>20</v>
      </c>
      <c r="H1030" t="s">
        <v>1822</v>
      </c>
      <c r="I1030" t="s">
        <v>48</v>
      </c>
      <c r="J1030" s="3">
        <v>38</v>
      </c>
      <c r="K1030" t="s">
        <v>2600</v>
      </c>
      <c r="L1030" t="s">
        <v>1163</v>
      </c>
      <c r="M1030" s="4">
        <v>0.28999999999999998</v>
      </c>
      <c r="N1030" s="4">
        <v>0.39</v>
      </c>
    </row>
    <row r="1031" spans="1:14" x14ac:dyDescent="0.4">
      <c r="A1031">
        <v>1030</v>
      </c>
      <c r="B1031">
        <v>2012</v>
      </c>
      <c r="C1031" t="s">
        <v>2601</v>
      </c>
      <c r="D1031" t="str">
        <f>HYPERLINK("https://ota.tournamentsoftware.com/player-profile/0DE38792-F237-4087-A5C1-369B6A3E0088", "Link")</f>
        <v>Link</v>
      </c>
      <c r="E1031" s="2">
        <v>19.957999999999998</v>
      </c>
      <c r="F1031" s="3">
        <v>2</v>
      </c>
      <c r="G1031" t="s">
        <v>29</v>
      </c>
      <c r="H1031" t="s">
        <v>2602</v>
      </c>
      <c r="I1031">
        <v>38.4</v>
      </c>
      <c r="J1031" s="3">
        <v>7</v>
      </c>
      <c r="K1031" t="s">
        <v>1303</v>
      </c>
      <c r="L1031" t="s">
        <v>1303</v>
      </c>
      <c r="M1031" s="4">
        <v>0.14000000000000001</v>
      </c>
      <c r="N1031" s="4">
        <v>0.14000000000000001</v>
      </c>
    </row>
    <row r="1032" spans="1:14" x14ac:dyDescent="0.4">
      <c r="A1032">
        <v>1031</v>
      </c>
      <c r="B1032">
        <v>2012</v>
      </c>
      <c r="C1032" t="s">
        <v>2603</v>
      </c>
      <c r="D1032" t="str">
        <f>HYPERLINK("https://ota.tournamentsoftware.com/player-profile/E8CCFA74-9017-45A2-B403-724A9977CD1E", "Link")</f>
        <v>Link</v>
      </c>
      <c r="E1032" s="2">
        <v>19.768000000000001</v>
      </c>
      <c r="F1032" s="3">
        <v>5</v>
      </c>
      <c r="G1032" t="s">
        <v>109</v>
      </c>
      <c r="H1032" t="s">
        <v>2604</v>
      </c>
      <c r="I1032">
        <v>35.9</v>
      </c>
      <c r="J1032" s="3">
        <v>28</v>
      </c>
      <c r="K1032" t="s">
        <v>963</v>
      </c>
      <c r="L1032" t="s">
        <v>465</v>
      </c>
      <c r="M1032" s="4">
        <v>0.32</v>
      </c>
      <c r="N1032" s="4">
        <v>0.33</v>
      </c>
    </row>
    <row r="1033" spans="1:14" x14ac:dyDescent="0.4">
      <c r="A1033">
        <v>1032</v>
      </c>
      <c r="B1033">
        <v>2011</v>
      </c>
      <c r="C1033" t="s">
        <v>2605</v>
      </c>
      <c r="D1033" t="str">
        <f>HYPERLINK("https://ota.tournamentsoftware.com/player-profile/0311BDE8-1806-4562-B224-C982983B7D53", "Link")</f>
        <v>Link</v>
      </c>
      <c r="E1033" s="2">
        <v>19.702000000000002</v>
      </c>
      <c r="F1033" s="3">
        <v>2</v>
      </c>
      <c r="G1033" t="s">
        <v>20</v>
      </c>
      <c r="H1033" t="s">
        <v>1822</v>
      </c>
      <c r="I1033">
        <v>39.4</v>
      </c>
      <c r="J1033" s="3">
        <v>24</v>
      </c>
      <c r="K1033" t="s">
        <v>1719</v>
      </c>
      <c r="L1033" t="s">
        <v>31</v>
      </c>
      <c r="M1033" s="4">
        <v>0.38</v>
      </c>
      <c r="N1033" s="4">
        <v>0</v>
      </c>
    </row>
    <row r="1034" spans="1:14" x14ac:dyDescent="0.4">
      <c r="A1034">
        <v>1033</v>
      </c>
      <c r="B1034">
        <v>2016</v>
      </c>
      <c r="C1034" t="s">
        <v>2606</v>
      </c>
      <c r="D1034" t="str">
        <f>HYPERLINK("https://ota.tournamentsoftware.com/player-profile/E3F0466B-50E4-4105-A35A-1BB6B1C1C09C", "Link")</f>
        <v>Link</v>
      </c>
      <c r="E1034" s="2">
        <v>19.649999999999999</v>
      </c>
      <c r="F1034" s="3">
        <v>7</v>
      </c>
      <c r="G1034" t="s">
        <v>20</v>
      </c>
      <c r="H1034" t="s">
        <v>809</v>
      </c>
      <c r="I1034">
        <v>38.299999999999997</v>
      </c>
      <c r="J1034" s="3">
        <v>79</v>
      </c>
      <c r="K1034" t="s">
        <v>2607</v>
      </c>
      <c r="L1034" t="s">
        <v>1402</v>
      </c>
      <c r="M1034" s="4">
        <v>0.56999999999999995</v>
      </c>
      <c r="N1034" s="4">
        <v>0.51</v>
      </c>
    </row>
    <row r="1035" spans="1:14" x14ac:dyDescent="0.4">
      <c r="A1035">
        <v>1034</v>
      </c>
      <c r="B1035">
        <v>2015</v>
      </c>
      <c r="C1035" t="s">
        <v>2608</v>
      </c>
      <c r="D1035" t="str">
        <f>HYPERLINK("https://ota.tournamentsoftware.com/player-profile/B4F82BC2-5552-446F-89FC-C5F7C7A674B7", "Link")</f>
        <v>Link</v>
      </c>
      <c r="E1035" s="2">
        <v>19.629000000000001</v>
      </c>
      <c r="F1035" s="3">
        <v>6</v>
      </c>
      <c r="G1035" t="s">
        <v>29</v>
      </c>
      <c r="H1035" t="s">
        <v>2394</v>
      </c>
      <c r="I1035">
        <v>39.4</v>
      </c>
      <c r="J1035" s="3">
        <v>68</v>
      </c>
      <c r="K1035" t="s">
        <v>2609</v>
      </c>
      <c r="L1035" t="s">
        <v>2042</v>
      </c>
      <c r="M1035" s="4">
        <v>0.41</v>
      </c>
      <c r="N1035" s="4">
        <v>0.33</v>
      </c>
    </row>
    <row r="1036" spans="1:14" x14ac:dyDescent="0.4">
      <c r="A1036">
        <v>1035</v>
      </c>
      <c r="B1036">
        <v>2014</v>
      </c>
      <c r="C1036" t="s">
        <v>2610</v>
      </c>
      <c r="D1036" t="str">
        <f>HYPERLINK("https://ota.tournamentsoftware.com/player-profile/BFD3D157-D2B6-45BF-BE92-CACB69CCC59C", "Link")</f>
        <v>Link</v>
      </c>
      <c r="E1036" s="2">
        <v>19.626000000000001</v>
      </c>
      <c r="F1036" s="3">
        <v>5</v>
      </c>
      <c r="G1036" t="s">
        <v>29</v>
      </c>
      <c r="H1036" t="s">
        <v>1470</v>
      </c>
      <c r="I1036">
        <v>37.9</v>
      </c>
      <c r="J1036" s="3">
        <v>51</v>
      </c>
      <c r="K1036" t="s">
        <v>1179</v>
      </c>
      <c r="L1036" t="s">
        <v>31</v>
      </c>
      <c r="M1036" s="4">
        <v>0.63</v>
      </c>
      <c r="N1036" s="4">
        <v>0</v>
      </c>
    </row>
    <row r="1037" spans="1:14" x14ac:dyDescent="0.4">
      <c r="A1037">
        <v>1036</v>
      </c>
      <c r="B1037">
        <v>2014</v>
      </c>
      <c r="C1037" t="s">
        <v>2611</v>
      </c>
      <c r="D1037" t="str">
        <f>HYPERLINK("https://ota.tournamentsoftware.com/player-profile/ABFF2DBE-5CD7-451A-B77E-526F2DB67DA2", "Link")</f>
        <v>Link</v>
      </c>
      <c r="E1037" s="2">
        <v>19.588000000000001</v>
      </c>
      <c r="F1037" s="3">
        <v>9</v>
      </c>
      <c r="G1037" t="s">
        <v>25</v>
      </c>
      <c r="H1037" t="s">
        <v>289</v>
      </c>
      <c r="I1037">
        <v>40</v>
      </c>
      <c r="J1037" s="3">
        <v>59</v>
      </c>
      <c r="K1037" t="s">
        <v>2612</v>
      </c>
      <c r="L1037" t="s">
        <v>1523</v>
      </c>
      <c r="M1037" s="4">
        <v>0.03</v>
      </c>
      <c r="N1037" s="4">
        <v>0</v>
      </c>
    </row>
    <row r="1038" spans="1:14" x14ac:dyDescent="0.4">
      <c r="A1038">
        <v>1037</v>
      </c>
      <c r="B1038">
        <v>2017</v>
      </c>
      <c r="C1038" t="s">
        <v>2613</v>
      </c>
      <c r="D1038" t="str">
        <f>HYPERLINK("https://ota.tournamentsoftware.com/player-profile/E975EEBE-CD33-46CE-BFFF-1BB5A6FB8672", "Link")</f>
        <v>Link</v>
      </c>
      <c r="E1038" s="2">
        <v>19.440000000000001</v>
      </c>
      <c r="F1038" s="3">
        <v>3</v>
      </c>
      <c r="G1038" t="s">
        <v>29</v>
      </c>
      <c r="H1038" t="s">
        <v>1545</v>
      </c>
      <c r="I1038">
        <v>37.200000000000003</v>
      </c>
      <c r="J1038" s="3">
        <v>149</v>
      </c>
      <c r="K1038" t="s">
        <v>2614</v>
      </c>
      <c r="L1038" t="s">
        <v>2615</v>
      </c>
      <c r="M1038" s="4">
        <v>0.8</v>
      </c>
      <c r="N1038" s="4">
        <v>0.86</v>
      </c>
    </row>
    <row r="1039" spans="1:14" x14ac:dyDescent="0.4">
      <c r="A1039">
        <v>1038</v>
      </c>
      <c r="B1039">
        <v>2011</v>
      </c>
      <c r="C1039" t="s">
        <v>2616</v>
      </c>
      <c r="D1039" t="str">
        <f>HYPERLINK("https://ota.tournamentsoftware.com/player-profile/A908AF7E-BF35-4467-A170-FB308A2D0CD1", "Link")</f>
        <v>Link</v>
      </c>
      <c r="E1039" s="2">
        <v>19.385000000000002</v>
      </c>
      <c r="F1039" s="3">
        <v>1</v>
      </c>
      <c r="G1039" t="s">
        <v>29</v>
      </c>
      <c r="H1039" t="s">
        <v>1078</v>
      </c>
      <c r="I1039">
        <v>36.5</v>
      </c>
      <c r="J1039" s="3">
        <v>1</v>
      </c>
      <c r="K1039" t="s">
        <v>433</v>
      </c>
      <c r="L1039" t="s">
        <v>31</v>
      </c>
      <c r="M1039" s="4">
        <v>0</v>
      </c>
      <c r="N1039" s="4">
        <v>0</v>
      </c>
    </row>
    <row r="1040" spans="1:14" x14ac:dyDescent="0.4">
      <c r="A1040">
        <v>1038</v>
      </c>
      <c r="B1040">
        <v>2012</v>
      </c>
      <c r="C1040" t="s">
        <v>2617</v>
      </c>
      <c r="D1040" t="str">
        <f>HYPERLINK("https://ota.tournamentsoftware.com/player-profile/00453502-5F0D-45E9-960B-731844BB2EE7", "Link")</f>
        <v>Link</v>
      </c>
      <c r="E1040" s="2">
        <v>19.385000000000002</v>
      </c>
      <c r="F1040" s="3">
        <v>1</v>
      </c>
      <c r="G1040" t="s">
        <v>29</v>
      </c>
      <c r="H1040" t="s">
        <v>2618</v>
      </c>
      <c r="I1040" t="s">
        <v>48</v>
      </c>
      <c r="J1040" s="3">
        <v>79</v>
      </c>
      <c r="K1040" t="s">
        <v>2619</v>
      </c>
      <c r="L1040" t="s">
        <v>31</v>
      </c>
      <c r="M1040" s="4">
        <v>0.59</v>
      </c>
      <c r="N1040" s="4">
        <v>0</v>
      </c>
    </row>
    <row r="1041" spans="1:14" x14ac:dyDescent="0.4">
      <c r="A1041">
        <v>1040</v>
      </c>
      <c r="B1041">
        <v>2014</v>
      </c>
      <c r="C1041" t="s">
        <v>2620</v>
      </c>
      <c r="D1041" t="str">
        <f>HYPERLINK("https://ota.tournamentsoftware.com/player-profile/E096F094-0386-4439-807E-E147F97C754F", "Link")</f>
        <v>Link</v>
      </c>
      <c r="E1041" s="2">
        <v>19.024000000000001</v>
      </c>
      <c r="F1041" s="3">
        <v>5</v>
      </c>
      <c r="G1041" t="s">
        <v>20</v>
      </c>
      <c r="H1041" t="s">
        <v>809</v>
      </c>
      <c r="I1041">
        <v>35.799999999999997</v>
      </c>
      <c r="J1041" s="3">
        <v>80</v>
      </c>
      <c r="K1041" t="s">
        <v>2621</v>
      </c>
      <c r="L1041" t="s">
        <v>1674</v>
      </c>
      <c r="M1041" s="4">
        <v>0.56999999999999995</v>
      </c>
      <c r="N1041" s="4">
        <v>0.2</v>
      </c>
    </row>
    <row r="1042" spans="1:14" x14ac:dyDescent="0.4">
      <c r="A1042">
        <v>1041</v>
      </c>
      <c r="B1042">
        <v>2014</v>
      </c>
      <c r="C1042" t="s">
        <v>2622</v>
      </c>
      <c r="D1042" t="str">
        <f>HYPERLINK("https://ota.tournamentsoftware.com/player-profile/7CE0472D-53F2-438D-B060-8BB037C14F01", "Link")</f>
        <v>Link</v>
      </c>
      <c r="E1042" s="2">
        <v>18.866</v>
      </c>
      <c r="F1042" s="3">
        <v>8</v>
      </c>
      <c r="G1042" t="s">
        <v>25</v>
      </c>
      <c r="H1042" t="s">
        <v>85</v>
      </c>
      <c r="I1042">
        <v>40</v>
      </c>
      <c r="J1042" s="3">
        <v>16</v>
      </c>
      <c r="K1042" t="s">
        <v>2623</v>
      </c>
      <c r="L1042" t="s">
        <v>1287</v>
      </c>
      <c r="M1042" s="4">
        <v>0.12</v>
      </c>
      <c r="N1042" s="4">
        <v>0.15</v>
      </c>
    </row>
    <row r="1043" spans="1:14" x14ac:dyDescent="0.4">
      <c r="A1043">
        <v>1042</v>
      </c>
      <c r="B1043">
        <v>2014</v>
      </c>
      <c r="C1043" t="s">
        <v>2624</v>
      </c>
      <c r="D1043" t="str">
        <f>HYPERLINK("https://ota.tournamentsoftware.com/player-profile/88713252-C9AF-4DC4-B40D-11479A26EE47", "Link")</f>
        <v>Link</v>
      </c>
      <c r="E1043" s="2">
        <v>18.821000000000002</v>
      </c>
      <c r="F1043" s="3">
        <v>8</v>
      </c>
      <c r="G1043" t="s">
        <v>20</v>
      </c>
      <c r="H1043" t="s">
        <v>919</v>
      </c>
      <c r="I1043">
        <v>35.6</v>
      </c>
      <c r="J1043" s="3">
        <v>85</v>
      </c>
      <c r="K1043" t="s">
        <v>2625</v>
      </c>
      <c r="L1043" t="s">
        <v>58</v>
      </c>
      <c r="M1043" s="4">
        <v>0.31</v>
      </c>
      <c r="N1043" s="4">
        <v>0.75</v>
      </c>
    </row>
    <row r="1044" spans="1:14" x14ac:dyDescent="0.4">
      <c r="A1044">
        <v>1043</v>
      </c>
      <c r="B1044">
        <v>2012</v>
      </c>
      <c r="C1044" t="s">
        <v>2626</v>
      </c>
      <c r="D1044" t="str">
        <f>HYPERLINK("https://ota.tournamentsoftware.com/player-profile/78566C46-653E-4667-ADCE-638FA56C318F", "Link")</f>
        <v>Link</v>
      </c>
      <c r="E1044" s="2">
        <v>18.771000000000001</v>
      </c>
      <c r="F1044" s="3">
        <v>2</v>
      </c>
      <c r="G1044" t="s">
        <v>29</v>
      </c>
      <c r="H1044" t="s">
        <v>1689</v>
      </c>
      <c r="I1044">
        <v>37.700000000000003</v>
      </c>
      <c r="J1044" s="3">
        <v>41</v>
      </c>
      <c r="K1044" t="s">
        <v>2627</v>
      </c>
      <c r="L1044" t="s">
        <v>1147</v>
      </c>
      <c r="M1044" s="4">
        <v>0.39</v>
      </c>
      <c r="N1044" s="4">
        <v>0.36</v>
      </c>
    </row>
    <row r="1045" spans="1:14" x14ac:dyDescent="0.4">
      <c r="A1045">
        <v>1044</v>
      </c>
      <c r="B1045">
        <v>2012</v>
      </c>
      <c r="C1045" t="s">
        <v>2628</v>
      </c>
      <c r="D1045" t="str">
        <f>HYPERLINK("https://ota.tournamentsoftware.com/player-profile/73A3C93B-23D0-4FC2-9B92-CA5DFE4335FD", "Link")</f>
        <v>Link</v>
      </c>
      <c r="E1045" s="2">
        <v>18.484000000000002</v>
      </c>
      <c r="F1045" s="3">
        <v>1</v>
      </c>
      <c r="G1045" t="s">
        <v>173</v>
      </c>
      <c r="H1045" t="s">
        <v>887</v>
      </c>
      <c r="I1045">
        <v>36.799999999999997</v>
      </c>
      <c r="J1045" s="3">
        <v>6</v>
      </c>
      <c r="K1045" t="s">
        <v>1407</v>
      </c>
      <c r="L1045" t="s">
        <v>1407</v>
      </c>
      <c r="M1045" s="4">
        <v>0.5</v>
      </c>
      <c r="N1045" s="4">
        <v>0.5</v>
      </c>
    </row>
    <row r="1046" spans="1:14" x14ac:dyDescent="0.4">
      <c r="A1046">
        <v>1045</v>
      </c>
      <c r="B1046">
        <v>2013</v>
      </c>
      <c r="C1046" t="s">
        <v>2629</v>
      </c>
      <c r="D1046" t="str">
        <f>HYPERLINK("https://ota.tournamentsoftware.com/player-profile/C6B89948-0347-4A82-9588-926B794A08CE", "Link")</f>
        <v>Link</v>
      </c>
      <c r="E1046" s="2">
        <v>18.446999999999999</v>
      </c>
      <c r="F1046" s="3">
        <v>1</v>
      </c>
      <c r="G1046" t="s">
        <v>29</v>
      </c>
      <c r="H1046" t="s">
        <v>1344</v>
      </c>
      <c r="I1046">
        <v>27.7</v>
      </c>
      <c r="J1046" s="3">
        <v>3</v>
      </c>
      <c r="K1046" t="s">
        <v>1721</v>
      </c>
      <c r="L1046" t="s">
        <v>433</v>
      </c>
      <c r="M1046" s="4">
        <v>0</v>
      </c>
      <c r="N1046" s="4">
        <v>0</v>
      </c>
    </row>
    <row r="1047" spans="1:14" x14ac:dyDescent="0.4">
      <c r="A1047">
        <v>1046</v>
      </c>
      <c r="B1047">
        <v>2014</v>
      </c>
      <c r="C1047" t="s">
        <v>2630</v>
      </c>
      <c r="D1047" t="str">
        <f>HYPERLINK("https://ota.tournamentsoftware.com/player-profile/B18DE2B4-0E8A-4263-8136-FCC7F7A61D01", "Link")</f>
        <v>Link</v>
      </c>
      <c r="E1047" s="2">
        <v>18.36</v>
      </c>
      <c r="F1047" s="3">
        <v>4</v>
      </c>
      <c r="G1047" t="s">
        <v>25</v>
      </c>
      <c r="H1047" t="s">
        <v>60</v>
      </c>
      <c r="I1047" t="s">
        <v>48</v>
      </c>
      <c r="J1047" s="3">
        <v>8</v>
      </c>
      <c r="K1047" t="s">
        <v>625</v>
      </c>
      <c r="L1047" t="s">
        <v>1284</v>
      </c>
      <c r="M1047" s="4">
        <v>0.5</v>
      </c>
      <c r="N1047" s="4">
        <v>0.33</v>
      </c>
    </row>
    <row r="1048" spans="1:14" x14ac:dyDescent="0.4">
      <c r="A1048">
        <v>1047</v>
      </c>
      <c r="B1048">
        <v>2011</v>
      </c>
      <c r="C1048" t="s">
        <v>2631</v>
      </c>
      <c r="D1048" t="str">
        <f>HYPERLINK("https://ota.tournamentsoftware.com/player-profile/12970E2A-FE4E-42F7-BFC7-2423CD23AD71", "Link")</f>
        <v>Link</v>
      </c>
      <c r="E1048" s="2">
        <v>18.347999999999999</v>
      </c>
      <c r="F1048" s="3">
        <v>1</v>
      </c>
      <c r="G1048" t="s">
        <v>20</v>
      </c>
      <c r="H1048" t="s">
        <v>16</v>
      </c>
      <c r="I1048" t="s">
        <v>48</v>
      </c>
      <c r="J1048" s="3">
        <v>20</v>
      </c>
      <c r="K1048" t="s">
        <v>1769</v>
      </c>
      <c r="L1048" t="s">
        <v>1674</v>
      </c>
      <c r="M1048" s="4">
        <v>0.35</v>
      </c>
      <c r="N1048" s="4">
        <v>0.2</v>
      </c>
    </row>
    <row r="1049" spans="1:14" x14ac:dyDescent="0.4">
      <c r="A1049">
        <v>1048</v>
      </c>
      <c r="B1049">
        <v>2015</v>
      </c>
      <c r="C1049" t="s">
        <v>2632</v>
      </c>
      <c r="D1049" t="str">
        <f>HYPERLINK("https://ota.tournamentsoftware.com/player-profile/E7E1A20D-ED12-47F1-913D-3022C4BE6070", "Link")</f>
        <v>Link</v>
      </c>
      <c r="E1049" s="2">
        <v>18.332000000000001</v>
      </c>
      <c r="F1049" s="3">
        <v>2</v>
      </c>
      <c r="G1049" t="s">
        <v>25</v>
      </c>
      <c r="H1049" t="s">
        <v>2633</v>
      </c>
      <c r="I1049">
        <v>37.4</v>
      </c>
      <c r="J1049" s="3">
        <v>7</v>
      </c>
      <c r="K1049" t="s">
        <v>534</v>
      </c>
      <c r="L1049" t="s">
        <v>1267</v>
      </c>
      <c r="M1049" s="4">
        <v>0.56999999999999995</v>
      </c>
      <c r="N1049" s="4">
        <v>0.25</v>
      </c>
    </row>
    <row r="1050" spans="1:14" x14ac:dyDescent="0.4">
      <c r="A1050">
        <v>1049</v>
      </c>
      <c r="B1050">
        <v>2011</v>
      </c>
      <c r="C1050" t="s">
        <v>2634</v>
      </c>
      <c r="D1050" t="str">
        <f>HYPERLINK("https://ota.tournamentsoftware.com/player-profile/C0E2A6D4-AFFA-4248-93BA-7086FCD7E0B8", "Link")</f>
        <v>Link</v>
      </c>
      <c r="E1050" s="2">
        <v>18</v>
      </c>
      <c r="F1050" s="3">
        <v>1</v>
      </c>
      <c r="G1050" t="s">
        <v>497</v>
      </c>
      <c r="H1050" t="s">
        <v>2188</v>
      </c>
      <c r="I1050" t="s">
        <v>48</v>
      </c>
      <c r="J1050" s="3">
        <v>13</v>
      </c>
      <c r="K1050" t="s">
        <v>2635</v>
      </c>
      <c r="L1050" t="s">
        <v>2636</v>
      </c>
      <c r="M1050" s="4">
        <v>0.77</v>
      </c>
      <c r="N1050" s="4">
        <v>1</v>
      </c>
    </row>
    <row r="1051" spans="1:14" x14ac:dyDescent="0.4">
      <c r="A1051">
        <v>1050</v>
      </c>
      <c r="B1051">
        <v>2013</v>
      </c>
      <c r="C1051" t="s">
        <v>2637</v>
      </c>
      <c r="D1051" t="str">
        <f>HYPERLINK("https://ota.tournamentsoftware.com/player-profile/B44D5381-342B-4AF0-8200-EA0CEE1E54B7", "Link")</f>
        <v>Link</v>
      </c>
      <c r="E1051" s="2">
        <v>17.916</v>
      </c>
      <c r="F1051" s="3">
        <v>2</v>
      </c>
      <c r="G1051" t="s">
        <v>29</v>
      </c>
      <c r="H1051" t="s">
        <v>199</v>
      </c>
      <c r="I1051">
        <v>35.9</v>
      </c>
      <c r="J1051" s="3">
        <v>22</v>
      </c>
      <c r="K1051" t="s">
        <v>1921</v>
      </c>
      <c r="L1051" t="s">
        <v>523</v>
      </c>
      <c r="M1051" s="4">
        <v>0.55000000000000004</v>
      </c>
      <c r="N1051" s="4">
        <v>0.5</v>
      </c>
    </row>
    <row r="1052" spans="1:14" x14ac:dyDescent="0.4">
      <c r="A1052">
        <v>1051</v>
      </c>
      <c r="B1052">
        <v>2014</v>
      </c>
      <c r="C1052" t="s">
        <v>2638</v>
      </c>
      <c r="D1052" t="str">
        <f>HYPERLINK("https://ota.tournamentsoftware.com/player-profile/C69F5ADB-3749-4D97-A809-250A73BB30C1", "Link")</f>
        <v>Link</v>
      </c>
      <c r="E1052" s="2">
        <v>17.902999999999999</v>
      </c>
      <c r="F1052" s="3">
        <v>6</v>
      </c>
      <c r="G1052" t="s">
        <v>20</v>
      </c>
      <c r="H1052" t="s">
        <v>900</v>
      </c>
      <c r="I1052">
        <v>36.799999999999997</v>
      </c>
      <c r="J1052" s="3">
        <v>40</v>
      </c>
      <c r="K1052" t="s">
        <v>2639</v>
      </c>
      <c r="L1052" t="s">
        <v>1416</v>
      </c>
      <c r="M1052" s="4">
        <v>0.35</v>
      </c>
      <c r="N1052" s="4">
        <v>0.42</v>
      </c>
    </row>
    <row r="1053" spans="1:14" x14ac:dyDescent="0.4">
      <c r="A1053">
        <v>1052</v>
      </c>
      <c r="B1053">
        <v>2011</v>
      </c>
      <c r="C1053" t="s">
        <v>2640</v>
      </c>
      <c r="D1053" t="str">
        <f>HYPERLINK("https://ota.tournamentsoftware.com/player-profile/6AA7AD5A-6F46-404A-9E2F-ABFAE8126C4D", "Link")</f>
        <v>Link</v>
      </c>
      <c r="E1053" s="2">
        <v>17.713999999999999</v>
      </c>
      <c r="F1053" s="3">
        <v>1</v>
      </c>
      <c r="G1053" t="s">
        <v>109</v>
      </c>
      <c r="H1053" t="s">
        <v>1958</v>
      </c>
      <c r="I1053">
        <v>37.200000000000003</v>
      </c>
      <c r="J1053" s="3">
        <v>2</v>
      </c>
      <c r="K1053" t="s">
        <v>1524</v>
      </c>
      <c r="L1053" t="s">
        <v>1524</v>
      </c>
      <c r="M1053" s="4">
        <v>0</v>
      </c>
      <c r="N1053" s="4">
        <v>0</v>
      </c>
    </row>
    <row r="1054" spans="1:14" x14ac:dyDescent="0.4">
      <c r="A1054">
        <v>1053</v>
      </c>
      <c r="B1054">
        <v>2010</v>
      </c>
      <c r="C1054" t="s">
        <v>2641</v>
      </c>
      <c r="D1054" t="str">
        <f>HYPERLINK("https://ota.tournamentsoftware.com/player-profile/FE306F37-1D47-4E51-B348-0B084AF3BE8A", "Link")</f>
        <v>Link</v>
      </c>
      <c r="E1054" s="2">
        <v>17.495999999999999</v>
      </c>
      <c r="F1054" s="3">
        <v>1</v>
      </c>
      <c r="G1054" t="s">
        <v>20</v>
      </c>
      <c r="H1054" t="s">
        <v>1822</v>
      </c>
      <c r="I1054">
        <v>34.4</v>
      </c>
      <c r="J1054" s="3">
        <v>2</v>
      </c>
      <c r="K1054" t="s">
        <v>523</v>
      </c>
      <c r="L1054" t="s">
        <v>523</v>
      </c>
      <c r="M1054" s="4">
        <v>0.5</v>
      </c>
      <c r="N1054" s="4">
        <v>0.5</v>
      </c>
    </row>
    <row r="1055" spans="1:14" x14ac:dyDescent="0.4">
      <c r="A1055">
        <v>1053</v>
      </c>
      <c r="B1055">
        <v>2011</v>
      </c>
      <c r="C1055" t="s">
        <v>2642</v>
      </c>
      <c r="D1055" t="str">
        <f>HYPERLINK("https://ota.tournamentsoftware.com/player-profile/AAD51B0D-883A-4E94-96C7-F120871D0F69", "Link")</f>
        <v>Link</v>
      </c>
      <c r="E1055" s="2">
        <v>17.495999999999999</v>
      </c>
      <c r="F1055" s="3">
        <v>1</v>
      </c>
      <c r="G1055" t="s">
        <v>20</v>
      </c>
      <c r="H1055" t="s">
        <v>919</v>
      </c>
      <c r="I1055">
        <v>35</v>
      </c>
      <c r="J1055" s="3">
        <v>41</v>
      </c>
      <c r="K1055" t="s">
        <v>2643</v>
      </c>
      <c r="L1055" t="s">
        <v>1978</v>
      </c>
      <c r="M1055" s="4">
        <v>0.32</v>
      </c>
      <c r="N1055" s="4">
        <v>0.67</v>
      </c>
    </row>
    <row r="1056" spans="1:14" x14ac:dyDescent="0.4">
      <c r="A1056">
        <v>1053</v>
      </c>
      <c r="B1056">
        <v>2010</v>
      </c>
      <c r="C1056" t="s">
        <v>2644</v>
      </c>
      <c r="D1056" t="str">
        <f>HYPERLINK("https://ota.tournamentsoftware.com/player-profile/F9C32145-A1FB-485F-9955-31615EF61736", "Link")</f>
        <v>Link</v>
      </c>
      <c r="E1056" s="2">
        <v>17.495999999999999</v>
      </c>
      <c r="F1056" s="3">
        <v>1</v>
      </c>
      <c r="G1056" t="s">
        <v>20</v>
      </c>
      <c r="H1056" t="s">
        <v>252</v>
      </c>
      <c r="I1056">
        <v>36.299999999999997</v>
      </c>
      <c r="J1056" s="3">
        <v>2</v>
      </c>
      <c r="K1056" t="s">
        <v>1524</v>
      </c>
      <c r="L1056" t="s">
        <v>1524</v>
      </c>
      <c r="M1056" s="4">
        <v>0</v>
      </c>
      <c r="N1056" s="4">
        <v>0</v>
      </c>
    </row>
    <row r="1057" spans="1:14" x14ac:dyDescent="0.4">
      <c r="A1057">
        <v>1053</v>
      </c>
      <c r="B1057">
        <v>2010</v>
      </c>
      <c r="C1057" t="s">
        <v>2645</v>
      </c>
      <c r="D1057" t="str">
        <f>HYPERLINK("https://ota.tournamentsoftware.com/player-profile/05BAE8ED-EAF1-40F4-A37D-D679C0409CB9", "Link")</f>
        <v>Link</v>
      </c>
      <c r="E1057" s="2">
        <v>17.495999999999999</v>
      </c>
      <c r="F1057" s="3">
        <v>1</v>
      </c>
      <c r="G1057" t="s">
        <v>20</v>
      </c>
      <c r="H1057" t="s">
        <v>16</v>
      </c>
      <c r="I1057">
        <v>28.2</v>
      </c>
      <c r="J1057" s="3">
        <v>146</v>
      </c>
      <c r="K1057" t="s">
        <v>2646</v>
      </c>
      <c r="L1057" t="s">
        <v>1721</v>
      </c>
      <c r="M1057" s="4">
        <v>0.5</v>
      </c>
      <c r="N1057" s="4">
        <v>0</v>
      </c>
    </row>
    <row r="1058" spans="1:14" x14ac:dyDescent="0.4">
      <c r="A1058">
        <v>1053</v>
      </c>
      <c r="B1058">
        <v>2011</v>
      </c>
      <c r="C1058" t="s">
        <v>2647</v>
      </c>
      <c r="D1058" t="str">
        <f>HYPERLINK("https://ota.tournamentsoftware.com/player-profile/DCDB0568-877C-4925-B726-233C110AEFF8", "Link")</f>
        <v>Link</v>
      </c>
      <c r="E1058" s="2">
        <v>17.495999999999999</v>
      </c>
      <c r="F1058" s="3">
        <v>1</v>
      </c>
      <c r="G1058" t="s">
        <v>20</v>
      </c>
      <c r="H1058" t="s">
        <v>252</v>
      </c>
      <c r="I1058">
        <v>35.200000000000003</v>
      </c>
      <c r="J1058" s="3">
        <v>8</v>
      </c>
      <c r="K1058" t="s">
        <v>139</v>
      </c>
      <c r="L1058" t="s">
        <v>433</v>
      </c>
      <c r="M1058" s="4">
        <v>0.62</v>
      </c>
      <c r="N1058" s="4">
        <v>0</v>
      </c>
    </row>
    <row r="1059" spans="1:14" x14ac:dyDescent="0.4">
      <c r="A1059">
        <v>1053</v>
      </c>
      <c r="B1059">
        <v>2011</v>
      </c>
      <c r="C1059" t="s">
        <v>2648</v>
      </c>
      <c r="D1059" t="str">
        <f>HYPERLINK("https://ota.tournamentsoftware.com/player-profile/4A2A5CCF-8BD4-4657-9A5E-D506AB6D5585", "Link")</f>
        <v>Link</v>
      </c>
      <c r="E1059" s="2">
        <v>17.495999999999999</v>
      </c>
      <c r="F1059" s="3">
        <v>1</v>
      </c>
      <c r="G1059" t="s">
        <v>20</v>
      </c>
      <c r="H1059" t="s">
        <v>2649</v>
      </c>
      <c r="I1059">
        <v>40</v>
      </c>
      <c r="J1059" s="3">
        <v>45</v>
      </c>
      <c r="K1059" t="s">
        <v>2376</v>
      </c>
      <c r="L1059" t="s">
        <v>1524</v>
      </c>
      <c r="M1059" s="4">
        <v>0.28999999999999998</v>
      </c>
      <c r="N1059" s="4">
        <v>0</v>
      </c>
    </row>
    <row r="1060" spans="1:14" x14ac:dyDescent="0.4">
      <c r="A1060">
        <v>1059</v>
      </c>
      <c r="B1060">
        <v>2017</v>
      </c>
      <c r="C1060" t="s">
        <v>2650</v>
      </c>
      <c r="D1060" t="str">
        <f>HYPERLINK("https://ota.tournamentsoftware.com/player-profile/5B1E15AE-3503-449A-B482-B98077F40A43", "Link")</f>
        <v>Link</v>
      </c>
      <c r="E1060" s="2">
        <v>17.41</v>
      </c>
      <c r="F1060" s="3">
        <v>7</v>
      </c>
      <c r="G1060" t="s">
        <v>109</v>
      </c>
      <c r="H1060" t="s">
        <v>16</v>
      </c>
      <c r="I1060">
        <v>35.6</v>
      </c>
      <c r="J1060" s="3">
        <v>39</v>
      </c>
      <c r="K1060" t="s">
        <v>2651</v>
      </c>
      <c r="L1060" t="s">
        <v>2652</v>
      </c>
      <c r="M1060" s="4">
        <v>0.69</v>
      </c>
      <c r="N1060" s="4">
        <v>0.68</v>
      </c>
    </row>
    <row r="1061" spans="1:14" x14ac:dyDescent="0.4">
      <c r="A1061">
        <v>1060</v>
      </c>
      <c r="B1061">
        <v>2014</v>
      </c>
      <c r="C1061" t="s">
        <v>2653</v>
      </c>
      <c r="D1061" t="str">
        <f>HYPERLINK("https://ota.tournamentsoftware.com/player-profile/540C86FB-2BC4-4357-8C94-AA0A3EEBDC22", "Link")</f>
        <v>Link</v>
      </c>
      <c r="E1061" s="2">
        <v>17.399999999999999</v>
      </c>
      <c r="F1061" s="3">
        <v>2</v>
      </c>
      <c r="G1061" t="s">
        <v>29</v>
      </c>
      <c r="H1061" t="s">
        <v>679</v>
      </c>
      <c r="I1061" t="s">
        <v>48</v>
      </c>
      <c r="J1061" s="3">
        <v>40</v>
      </c>
      <c r="K1061" t="s">
        <v>2639</v>
      </c>
      <c r="L1061" t="s">
        <v>1674</v>
      </c>
      <c r="M1061" s="4">
        <v>0.35</v>
      </c>
      <c r="N1061" s="4">
        <v>0.2</v>
      </c>
    </row>
    <row r="1062" spans="1:14" x14ac:dyDescent="0.4">
      <c r="A1062">
        <v>1061</v>
      </c>
      <c r="B1062">
        <v>2013</v>
      </c>
      <c r="C1062" t="s">
        <v>2654</v>
      </c>
      <c r="D1062" t="str">
        <f>HYPERLINK("https://ota.tournamentsoftware.com/player-profile/B42CFB1E-4A07-4108-A904-8512C36C48D8", "Link")</f>
        <v>Link</v>
      </c>
      <c r="E1062" s="2">
        <v>17.312999999999999</v>
      </c>
      <c r="F1062" s="3">
        <v>4</v>
      </c>
      <c r="G1062" t="s">
        <v>109</v>
      </c>
      <c r="H1062" t="s">
        <v>281</v>
      </c>
      <c r="I1062">
        <v>33.9</v>
      </c>
      <c r="J1062" s="3">
        <v>40</v>
      </c>
      <c r="K1062" t="s">
        <v>2655</v>
      </c>
      <c r="L1062" t="s">
        <v>433</v>
      </c>
      <c r="M1062" s="4">
        <v>0.47</v>
      </c>
      <c r="N1062" s="4">
        <v>0</v>
      </c>
    </row>
    <row r="1063" spans="1:14" x14ac:dyDescent="0.4">
      <c r="A1063">
        <v>1062</v>
      </c>
      <c r="B1063">
        <v>2014</v>
      </c>
      <c r="C1063" t="s">
        <v>2656</v>
      </c>
      <c r="D1063" t="str">
        <f>HYPERLINK("https://ota.tournamentsoftware.com/player-profile/F8357E3D-210F-40E0-BA8A-8FFDBD0DC17E", "Link")</f>
        <v>Link</v>
      </c>
      <c r="E1063" s="2">
        <v>17.28</v>
      </c>
      <c r="F1063" s="3">
        <v>2</v>
      </c>
      <c r="G1063" t="s">
        <v>29</v>
      </c>
      <c r="H1063" t="s">
        <v>2602</v>
      </c>
      <c r="I1063">
        <v>36.700000000000003</v>
      </c>
      <c r="J1063" s="3">
        <v>32</v>
      </c>
      <c r="K1063" t="s">
        <v>895</v>
      </c>
      <c r="L1063" t="s">
        <v>547</v>
      </c>
      <c r="M1063" s="4">
        <v>0.47</v>
      </c>
      <c r="N1063" s="4">
        <v>0.52</v>
      </c>
    </row>
    <row r="1064" spans="1:14" x14ac:dyDescent="0.4">
      <c r="A1064">
        <v>1062</v>
      </c>
      <c r="B1064">
        <v>2016</v>
      </c>
      <c r="C1064" t="s">
        <v>2657</v>
      </c>
      <c r="D1064" t="str">
        <f>HYPERLINK("https://ota.tournamentsoftware.com/player-profile/7B847012-F77E-40EE-A816-39ABE1031DA9", "Link")</f>
        <v>Link</v>
      </c>
      <c r="E1064" s="2">
        <v>17.28</v>
      </c>
      <c r="F1064" s="3">
        <v>1</v>
      </c>
      <c r="G1064" t="s">
        <v>25</v>
      </c>
      <c r="H1064" t="s">
        <v>289</v>
      </c>
      <c r="I1064">
        <v>37.299999999999997</v>
      </c>
      <c r="J1064" s="3">
        <v>5</v>
      </c>
      <c r="K1064" t="s">
        <v>1674</v>
      </c>
      <c r="L1064" t="s">
        <v>523</v>
      </c>
      <c r="M1064" s="4">
        <v>0.2</v>
      </c>
      <c r="N1064" s="4">
        <v>0.5</v>
      </c>
    </row>
    <row r="1065" spans="1:14" x14ac:dyDescent="0.4">
      <c r="A1065">
        <v>1064</v>
      </c>
      <c r="B1065">
        <v>2012</v>
      </c>
      <c r="C1065" t="s">
        <v>2658</v>
      </c>
      <c r="D1065" t="str">
        <f>HYPERLINK("https://ota.tournamentsoftware.com/player-profile/0117F9E7-8DFA-459F-859A-F7CFC440388D", "Link")</f>
        <v>Link</v>
      </c>
      <c r="E1065" s="2">
        <v>17.16</v>
      </c>
      <c r="F1065" s="3">
        <v>1</v>
      </c>
      <c r="G1065" t="s">
        <v>29</v>
      </c>
      <c r="H1065" t="s">
        <v>2659</v>
      </c>
      <c r="I1065">
        <v>35.700000000000003</v>
      </c>
      <c r="J1065" s="3">
        <v>15</v>
      </c>
      <c r="K1065" t="s">
        <v>1895</v>
      </c>
      <c r="L1065" t="s">
        <v>31</v>
      </c>
      <c r="M1065" s="4">
        <v>0.4</v>
      </c>
      <c r="N1065" s="4">
        <v>0</v>
      </c>
    </row>
    <row r="1066" spans="1:14" x14ac:dyDescent="0.4">
      <c r="A1066">
        <v>1065</v>
      </c>
      <c r="B1066">
        <v>2015</v>
      </c>
      <c r="C1066" t="s">
        <v>2660</v>
      </c>
      <c r="D1066" t="str">
        <f>HYPERLINK("https://ota.tournamentsoftware.com/player-profile/1188855E-2EBD-473C-B3CD-74B3CDDF9042", "Link")</f>
        <v>Link</v>
      </c>
      <c r="E1066" s="2">
        <v>17.036999999999999</v>
      </c>
      <c r="F1066" s="3">
        <v>3</v>
      </c>
      <c r="G1066" t="s">
        <v>29</v>
      </c>
      <c r="H1066" t="s">
        <v>2124</v>
      </c>
      <c r="I1066">
        <v>35.700000000000003</v>
      </c>
      <c r="J1066" s="3">
        <v>29</v>
      </c>
      <c r="K1066" t="s">
        <v>756</v>
      </c>
      <c r="L1066" t="s">
        <v>1243</v>
      </c>
      <c r="M1066" s="4">
        <v>0.38</v>
      </c>
      <c r="N1066" s="4">
        <v>0.4</v>
      </c>
    </row>
    <row r="1067" spans="1:14" x14ac:dyDescent="0.4">
      <c r="A1067">
        <v>1066</v>
      </c>
      <c r="B1067">
        <v>2011</v>
      </c>
      <c r="C1067" t="s">
        <v>2661</v>
      </c>
      <c r="D1067" t="str">
        <f>HYPERLINK("https://ota.tournamentsoftware.com/player-profile/1EE12F6A-346D-43DB-990A-DE661316DBF8", "Link")</f>
        <v>Link</v>
      </c>
      <c r="E1067" s="2">
        <v>16.922000000000001</v>
      </c>
      <c r="F1067" s="3">
        <v>1</v>
      </c>
      <c r="G1067" t="s">
        <v>20</v>
      </c>
      <c r="H1067" t="s">
        <v>43</v>
      </c>
      <c r="I1067">
        <v>38.700000000000003</v>
      </c>
      <c r="J1067" s="3">
        <v>3</v>
      </c>
      <c r="K1067" t="s">
        <v>1284</v>
      </c>
      <c r="L1067" t="s">
        <v>1284</v>
      </c>
      <c r="M1067" s="4">
        <v>0.33</v>
      </c>
      <c r="N1067" s="4">
        <v>0.33</v>
      </c>
    </row>
    <row r="1068" spans="1:14" x14ac:dyDescent="0.4">
      <c r="A1068">
        <v>1067</v>
      </c>
      <c r="B1068">
        <v>2016</v>
      </c>
      <c r="C1068" t="s">
        <v>2662</v>
      </c>
      <c r="D1068" t="str">
        <f>HYPERLINK("https://ota.tournamentsoftware.com/player-profile/E90BB9E9-F58B-415B-8202-1B024EFB9E36", "Link")</f>
        <v>Link</v>
      </c>
      <c r="E1068" s="2">
        <v>16.847999999999999</v>
      </c>
      <c r="F1068" s="3">
        <v>5</v>
      </c>
      <c r="G1068" t="s">
        <v>29</v>
      </c>
      <c r="H1068" t="s">
        <v>163</v>
      </c>
      <c r="I1068">
        <v>37.299999999999997</v>
      </c>
      <c r="J1068" s="3">
        <v>142</v>
      </c>
      <c r="K1068" t="s">
        <v>2663</v>
      </c>
      <c r="L1068" t="s">
        <v>1808</v>
      </c>
      <c r="M1068" s="4">
        <v>0.38</v>
      </c>
      <c r="N1068" s="4">
        <v>0.39</v>
      </c>
    </row>
    <row r="1069" spans="1:14" x14ac:dyDescent="0.4">
      <c r="A1069">
        <v>1068</v>
      </c>
      <c r="B1069">
        <v>2012</v>
      </c>
      <c r="C1069" t="s">
        <v>2664</v>
      </c>
      <c r="D1069" t="str">
        <f>HYPERLINK("https://ota.tournamentsoftware.com/player-profile/DA22DB71-D6D8-4605-B329-E9AEA5B14695", "Link")</f>
        <v>Link</v>
      </c>
      <c r="E1069" s="2">
        <v>16.632000000000001</v>
      </c>
      <c r="F1069" s="3">
        <v>1</v>
      </c>
      <c r="G1069" t="s">
        <v>29</v>
      </c>
      <c r="H1069" t="s">
        <v>199</v>
      </c>
      <c r="I1069">
        <v>37.5</v>
      </c>
      <c r="J1069" s="3">
        <v>30</v>
      </c>
      <c r="K1069" t="s">
        <v>2665</v>
      </c>
      <c r="L1069" t="s">
        <v>1240</v>
      </c>
      <c r="M1069" s="4">
        <v>0.23</v>
      </c>
      <c r="N1069" s="4">
        <v>0.5</v>
      </c>
    </row>
    <row r="1070" spans="1:14" x14ac:dyDescent="0.4">
      <c r="A1070">
        <v>1069</v>
      </c>
      <c r="B1070">
        <v>2013</v>
      </c>
      <c r="C1070" t="s">
        <v>2666</v>
      </c>
      <c r="D1070" t="str">
        <f>HYPERLINK("https://ota.tournamentsoftware.com/player-profile/601A80FC-EABC-4AF6-9B13-BEBCF22814BA", "Link")</f>
        <v>Link</v>
      </c>
      <c r="E1070" s="2">
        <v>16.603000000000002</v>
      </c>
      <c r="F1070" s="3">
        <v>4</v>
      </c>
      <c r="G1070" t="s">
        <v>20</v>
      </c>
      <c r="H1070" t="s">
        <v>127</v>
      </c>
      <c r="I1070" t="s">
        <v>48</v>
      </c>
      <c r="J1070" s="3">
        <v>37</v>
      </c>
      <c r="K1070" t="s">
        <v>2089</v>
      </c>
      <c r="L1070" t="s">
        <v>2470</v>
      </c>
      <c r="M1070" s="4">
        <v>0.32</v>
      </c>
      <c r="N1070" s="4">
        <v>0.18</v>
      </c>
    </row>
    <row r="1071" spans="1:14" x14ac:dyDescent="0.4">
      <c r="A1071">
        <v>1070</v>
      </c>
      <c r="B1071">
        <v>2015</v>
      </c>
      <c r="C1071" t="s">
        <v>2667</v>
      </c>
      <c r="D1071" t="str">
        <f>HYPERLINK("https://ota.tournamentsoftware.com/player-profile/C5888674-E1AF-487D-88CD-4864B4B9365E", "Link")</f>
        <v>Link</v>
      </c>
      <c r="E1071" s="2">
        <v>16.489000000000001</v>
      </c>
      <c r="F1071" s="3">
        <v>3</v>
      </c>
      <c r="G1071" t="s">
        <v>25</v>
      </c>
      <c r="H1071" t="s">
        <v>16</v>
      </c>
      <c r="I1071" t="s">
        <v>48</v>
      </c>
      <c r="J1071" s="3">
        <v>2</v>
      </c>
      <c r="K1071" t="s">
        <v>1524</v>
      </c>
      <c r="L1071" t="s">
        <v>1524</v>
      </c>
      <c r="M1071" s="4">
        <v>0</v>
      </c>
      <c r="N1071" s="4">
        <v>0</v>
      </c>
    </row>
    <row r="1072" spans="1:14" x14ac:dyDescent="0.4">
      <c r="A1072">
        <v>1071</v>
      </c>
      <c r="B1072">
        <v>2014</v>
      </c>
      <c r="C1072" t="s">
        <v>2668</v>
      </c>
      <c r="D1072" t="str">
        <f>HYPERLINK("https://ota.tournamentsoftware.com/player-profile/F0626954-59DE-45D2-AE30-FCA903A00699", "Link")</f>
        <v>Link</v>
      </c>
      <c r="E1072" s="2">
        <v>16.459</v>
      </c>
      <c r="F1072" s="3">
        <v>2</v>
      </c>
      <c r="G1072" t="s">
        <v>15</v>
      </c>
      <c r="H1072" t="s">
        <v>16</v>
      </c>
      <c r="I1072">
        <v>30.1</v>
      </c>
      <c r="J1072" s="3">
        <v>38</v>
      </c>
      <c r="K1072" t="s">
        <v>2669</v>
      </c>
      <c r="L1072" t="s">
        <v>139</v>
      </c>
      <c r="M1072" s="4">
        <v>0.61</v>
      </c>
      <c r="N1072" s="4">
        <v>0.62</v>
      </c>
    </row>
    <row r="1073" spans="1:14" x14ac:dyDescent="0.4">
      <c r="A1073">
        <v>1072</v>
      </c>
      <c r="B1073">
        <v>2015</v>
      </c>
      <c r="C1073" t="s">
        <v>2670</v>
      </c>
      <c r="D1073" t="str">
        <f>HYPERLINK("https://ota.tournamentsoftware.com/player-profile/9023DCCB-FDAB-4759-A4C9-E99C2FD3C6AD", "Link")</f>
        <v>Link</v>
      </c>
      <c r="E1073" s="2">
        <v>16.312999999999999</v>
      </c>
      <c r="F1073" s="3">
        <v>6</v>
      </c>
      <c r="G1073" t="s">
        <v>25</v>
      </c>
      <c r="H1073" t="s">
        <v>1856</v>
      </c>
      <c r="I1073" t="s">
        <v>48</v>
      </c>
      <c r="J1073" s="3">
        <v>25</v>
      </c>
      <c r="K1073" t="s">
        <v>1715</v>
      </c>
      <c r="L1073" t="s">
        <v>1697</v>
      </c>
      <c r="M1073" s="4">
        <v>0.08</v>
      </c>
      <c r="N1073" s="4">
        <v>0</v>
      </c>
    </row>
    <row r="1074" spans="1:14" x14ac:dyDescent="0.4">
      <c r="A1074">
        <v>1073</v>
      </c>
      <c r="B1074">
        <v>2012</v>
      </c>
      <c r="C1074" t="s">
        <v>2671</v>
      </c>
      <c r="D1074" t="str">
        <f>HYPERLINK("https://ota.tournamentsoftware.com/player-profile/5B6A5CCB-4E85-427C-99E0-E2078ED2493C", "Link")</f>
        <v>Link</v>
      </c>
      <c r="E1074" s="2">
        <v>15.968</v>
      </c>
      <c r="F1074" s="3">
        <v>3</v>
      </c>
      <c r="G1074" t="s">
        <v>20</v>
      </c>
      <c r="H1074" t="s">
        <v>296</v>
      </c>
      <c r="I1074">
        <v>39.4</v>
      </c>
      <c r="J1074" s="3">
        <v>54</v>
      </c>
      <c r="K1074" t="s">
        <v>2672</v>
      </c>
      <c r="L1074" t="s">
        <v>879</v>
      </c>
      <c r="M1074" s="4">
        <v>0.17</v>
      </c>
      <c r="N1074" s="4">
        <v>0</v>
      </c>
    </row>
    <row r="1075" spans="1:14" x14ac:dyDescent="0.4">
      <c r="A1075">
        <v>1074</v>
      </c>
      <c r="B1075">
        <v>2011</v>
      </c>
      <c r="C1075" t="s">
        <v>2673</v>
      </c>
      <c r="D1075" t="str">
        <f>HYPERLINK("https://ota.tournamentsoftware.com/player-profile/9FCB22EC-A5DF-4A50-B8F3-8F71038AE972", "Link")</f>
        <v>Link</v>
      </c>
      <c r="E1075" s="2">
        <v>15.552</v>
      </c>
      <c r="F1075" s="3">
        <v>1</v>
      </c>
      <c r="G1075" t="s">
        <v>29</v>
      </c>
      <c r="H1075" t="s">
        <v>52</v>
      </c>
      <c r="I1075" t="s">
        <v>48</v>
      </c>
      <c r="J1075" s="3">
        <v>11</v>
      </c>
      <c r="K1075" t="s">
        <v>2385</v>
      </c>
      <c r="L1075" t="s">
        <v>31</v>
      </c>
      <c r="M1075" s="4">
        <v>0.55000000000000004</v>
      </c>
      <c r="N1075" s="4">
        <v>0</v>
      </c>
    </row>
    <row r="1076" spans="1:14" x14ac:dyDescent="0.4">
      <c r="A1076">
        <v>1075</v>
      </c>
      <c r="B1076">
        <v>2011</v>
      </c>
      <c r="C1076" t="s">
        <v>2674</v>
      </c>
      <c r="D1076" t="str">
        <f>HYPERLINK("https://ota.tournamentsoftware.com/player-profile/9A07A487-3638-4F37-A70E-A62B7C82CCBF", "Link")</f>
        <v>Link</v>
      </c>
      <c r="E1076" s="2">
        <v>15.544</v>
      </c>
      <c r="F1076" s="3">
        <v>1</v>
      </c>
      <c r="G1076" t="s">
        <v>25</v>
      </c>
      <c r="H1076" t="s">
        <v>16</v>
      </c>
      <c r="I1076">
        <v>36.9</v>
      </c>
      <c r="J1076" s="3">
        <v>2</v>
      </c>
      <c r="K1076" t="s">
        <v>1524</v>
      </c>
      <c r="L1076" t="s">
        <v>1524</v>
      </c>
      <c r="M1076" s="4">
        <v>0</v>
      </c>
      <c r="N1076" s="4">
        <v>0</v>
      </c>
    </row>
    <row r="1077" spans="1:14" x14ac:dyDescent="0.4">
      <c r="A1077">
        <v>1076</v>
      </c>
      <c r="B1077">
        <v>2014</v>
      </c>
      <c r="C1077" t="s">
        <v>2675</v>
      </c>
      <c r="D1077" t="str">
        <f>HYPERLINK("https://ota.tournamentsoftware.com/player-profile/60A61325-C72A-4622-B3AF-5291E7A5657A", "Link")</f>
        <v>Link</v>
      </c>
      <c r="E1077" s="2">
        <v>15.058999999999999</v>
      </c>
      <c r="F1077" s="3">
        <v>1</v>
      </c>
      <c r="G1077" t="s">
        <v>185</v>
      </c>
      <c r="H1077" t="s">
        <v>213</v>
      </c>
      <c r="I1077">
        <v>37</v>
      </c>
      <c r="J1077" s="3">
        <v>3</v>
      </c>
      <c r="K1077" t="s">
        <v>1284</v>
      </c>
      <c r="L1077" t="s">
        <v>433</v>
      </c>
      <c r="M1077" s="4">
        <v>0.33</v>
      </c>
      <c r="N1077" s="4">
        <v>0</v>
      </c>
    </row>
    <row r="1078" spans="1:14" x14ac:dyDescent="0.4">
      <c r="A1078">
        <v>1077</v>
      </c>
      <c r="B1078">
        <v>2013</v>
      </c>
      <c r="C1078" t="s">
        <v>2676</v>
      </c>
      <c r="D1078" t="str">
        <f>HYPERLINK("https://ota.tournamentsoftware.com/player-profile/A4C08F5F-BDB2-4714-9F20-18E924F0B20C", "Link")</f>
        <v>Link</v>
      </c>
      <c r="E1078" s="2">
        <v>15</v>
      </c>
      <c r="F1078" s="3">
        <v>1</v>
      </c>
      <c r="G1078" t="s">
        <v>20</v>
      </c>
      <c r="H1078" t="s">
        <v>16</v>
      </c>
      <c r="I1078">
        <v>33.1</v>
      </c>
      <c r="J1078" s="3">
        <v>121</v>
      </c>
      <c r="K1078" t="s">
        <v>2677</v>
      </c>
      <c r="L1078" t="s">
        <v>31</v>
      </c>
      <c r="M1078" s="4">
        <v>0.57999999999999996</v>
      </c>
      <c r="N1078" s="4">
        <v>0</v>
      </c>
    </row>
    <row r="1079" spans="1:14" x14ac:dyDescent="0.4">
      <c r="A1079">
        <v>1078</v>
      </c>
      <c r="B1079">
        <v>2012</v>
      </c>
      <c r="C1079" t="s">
        <v>2678</v>
      </c>
      <c r="D1079" t="str">
        <f>HYPERLINK("https://ota.tournamentsoftware.com/player-profile/44A25362-E73B-4E09-954B-7A375954482B", "Link")</f>
        <v>Link</v>
      </c>
      <c r="E1079" s="2">
        <v>14.647</v>
      </c>
      <c r="F1079" s="3">
        <v>3</v>
      </c>
      <c r="G1079" t="s">
        <v>109</v>
      </c>
      <c r="H1079" t="s">
        <v>2604</v>
      </c>
      <c r="I1079" t="s">
        <v>48</v>
      </c>
      <c r="J1079" s="3">
        <v>6</v>
      </c>
      <c r="K1079" t="s">
        <v>1625</v>
      </c>
      <c r="L1079" t="s">
        <v>1625</v>
      </c>
      <c r="M1079" s="4">
        <v>0.33</v>
      </c>
      <c r="N1079" s="4">
        <v>0.33</v>
      </c>
    </row>
    <row r="1080" spans="1:14" x14ac:dyDescent="0.4">
      <c r="A1080">
        <v>1079</v>
      </c>
      <c r="B1080">
        <v>2015</v>
      </c>
      <c r="C1080" t="s">
        <v>2679</v>
      </c>
      <c r="D1080" t="str">
        <f>HYPERLINK("https://ota.tournamentsoftware.com/player-profile/DFAA2C12-ED04-42F9-9711-F91A6745B43A", "Link")</f>
        <v>Link</v>
      </c>
      <c r="E1080" s="2">
        <v>14.585000000000001</v>
      </c>
      <c r="F1080" s="3">
        <v>3</v>
      </c>
      <c r="G1080" t="s">
        <v>29</v>
      </c>
      <c r="H1080" t="s">
        <v>1652</v>
      </c>
      <c r="I1080">
        <v>40</v>
      </c>
      <c r="J1080" s="3">
        <v>28</v>
      </c>
      <c r="K1080" t="s">
        <v>132</v>
      </c>
      <c r="L1080" t="s">
        <v>1097</v>
      </c>
      <c r="M1080" s="4">
        <v>0.5</v>
      </c>
      <c r="N1080" s="4">
        <v>0.36</v>
      </c>
    </row>
    <row r="1081" spans="1:14" x14ac:dyDescent="0.4">
      <c r="A1081">
        <v>1080</v>
      </c>
      <c r="B1081">
        <v>2010</v>
      </c>
      <c r="C1081" t="s">
        <v>2680</v>
      </c>
      <c r="D1081" t="str">
        <f>HYPERLINK("https://ota.tournamentsoftware.com/player-profile/C244298E-69E4-4CA0-90F6-54038AF74F67", "Link")</f>
        <v>Link</v>
      </c>
      <c r="E1081" s="2">
        <v>14.429</v>
      </c>
      <c r="F1081" s="3">
        <v>2</v>
      </c>
      <c r="G1081" t="s">
        <v>109</v>
      </c>
      <c r="H1081" t="s">
        <v>2681</v>
      </c>
      <c r="I1081" t="s">
        <v>48</v>
      </c>
      <c r="J1081" s="3">
        <v>22</v>
      </c>
      <c r="K1081" t="s">
        <v>2682</v>
      </c>
      <c r="L1081" t="s">
        <v>523</v>
      </c>
      <c r="M1081" s="4">
        <v>0.14000000000000001</v>
      </c>
      <c r="N1081" s="4">
        <v>0.5</v>
      </c>
    </row>
    <row r="1082" spans="1:14" x14ac:dyDescent="0.4">
      <c r="A1082">
        <v>1081</v>
      </c>
      <c r="B1082">
        <v>2017</v>
      </c>
      <c r="C1082" t="s">
        <v>2683</v>
      </c>
      <c r="D1082" t="str">
        <f>HYPERLINK("https://ota.tournamentsoftware.com/player-profile/63E3DB95-CFC7-47F5-8461-E32C50FD6342", "Link")</f>
        <v>Link</v>
      </c>
      <c r="E1082" s="2">
        <v>14.4</v>
      </c>
      <c r="F1082" s="3">
        <v>6</v>
      </c>
      <c r="G1082" t="s">
        <v>20</v>
      </c>
      <c r="H1082" t="s">
        <v>21</v>
      </c>
      <c r="I1082">
        <v>37.9</v>
      </c>
      <c r="J1082" s="3">
        <v>135</v>
      </c>
      <c r="K1082" t="s">
        <v>2684</v>
      </c>
      <c r="L1082" t="s">
        <v>465</v>
      </c>
      <c r="M1082" s="4">
        <v>0.45</v>
      </c>
      <c r="N1082" s="4">
        <v>0.33</v>
      </c>
    </row>
    <row r="1083" spans="1:14" x14ac:dyDescent="0.4">
      <c r="A1083">
        <v>1082</v>
      </c>
      <c r="B1083">
        <v>2015</v>
      </c>
      <c r="C1083" t="s">
        <v>2685</v>
      </c>
      <c r="D1083" t="str">
        <f>HYPERLINK("https://ota.tournamentsoftware.com/player-profile/0DB52458-FB00-472A-BE89-03A77FEBF08E", "Link")</f>
        <v>Link</v>
      </c>
      <c r="E1083" s="2">
        <v>14.381</v>
      </c>
      <c r="F1083" s="3">
        <v>3</v>
      </c>
      <c r="G1083" t="s">
        <v>29</v>
      </c>
      <c r="H1083" t="s">
        <v>528</v>
      </c>
      <c r="I1083" t="s">
        <v>48</v>
      </c>
      <c r="J1083" s="3">
        <v>54</v>
      </c>
      <c r="K1083" t="s">
        <v>2686</v>
      </c>
      <c r="L1083" t="s">
        <v>2623</v>
      </c>
      <c r="M1083" s="4">
        <v>0.28000000000000003</v>
      </c>
      <c r="N1083" s="4">
        <v>0.12</v>
      </c>
    </row>
    <row r="1084" spans="1:14" x14ac:dyDescent="0.4">
      <c r="A1084">
        <v>1083</v>
      </c>
      <c r="B1084">
        <v>2014</v>
      </c>
      <c r="C1084" t="s">
        <v>2687</v>
      </c>
      <c r="D1084" t="str">
        <f>HYPERLINK("https://ota.tournamentsoftware.com/player-profile/ECABBEB5-67C3-48F1-8CC6-A7628D8721E8", "Link")</f>
        <v>Link</v>
      </c>
      <c r="E1084" s="2">
        <v>14.292</v>
      </c>
      <c r="F1084" s="3">
        <v>3</v>
      </c>
      <c r="G1084" t="s">
        <v>29</v>
      </c>
      <c r="H1084" t="s">
        <v>679</v>
      </c>
      <c r="I1084">
        <v>38.9</v>
      </c>
      <c r="J1084" s="3">
        <v>38</v>
      </c>
      <c r="K1084" t="s">
        <v>2600</v>
      </c>
      <c r="L1084" t="s">
        <v>523</v>
      </c>
      <c r="M1084" s="4">
        <v>0.28999999999999998</v>
      </c>
      <c r="N1084" s="4">
        <v>0.5</v>
      </c>
    </row>
    <row r="1085" spans="1:14" x14ac:dyDescent="0.4">
      <c r="A1085">
        <v>1084</v>
      </c>
      <c r="B1085">
        <v>2014</v>
      </c>
      <c r="C1085" t="s">
        <v>2688</v>
      </c>
      <c r="D1085" t="str">
        <f>HYPERLINK("https://ota.tournamentsoftware.com/player-profile/6079C290-F004-492F-BD70-120B06A08264", "Link")</f>
        <v>Link</v>
      </c>
      <c r="E1085" s="2">
        <v>14.282999999999999</v>
      </c>
      <c r="F1085" s="3">
        <v>4</v>
      </c>
      <c r="G1085" t="s">
        <v>20</v>
      </c>
      <c r="H1085" t="s">
        <v>16</v>
      </c>
      <c r="I1085">
        <v>36.299999999999997</v>
      </c>
      <c r="J1085" s="3">
        <v>47</v>
      </c>
      <c r="K1085" t="s">
        <v>2689</v>
      </c>
      <c r="L1085" t="s">
        <v>2398</v>
      </c>
      <c r="M1085" s="4">
        <v>0.36</v>
      </c>
      <c r="N1085" s="4">
        <v>0.44</v>
      </c>
    </row>
    <row r="1086" spans="1:14" x14ac:dyDescent="0.4">
      <c r="A1086">
        <v>1085</v>
      </c>
      <c r="B1086">
        <v>2012</v>
      </c>
      <c r="C1086" t="s">
        <v>2690</v>
      </c>
      <c r="D1086" t="str">
        <f>HYPERLINK("https://ota.tournamentsoftware.com/player-profile/88D51E75-4EAF-4390-8A85-9E01D5A7B97C", "Link")</f>
        <v>Link</v>
      </c>
      <c r="E1086" s="2">
        <v>14.11</v>
      </c>
      <c r="F1086" s="3">
        <v>1</v>
      </c>
      <c r="G1086" t="s">
        <v>29</v>
      </c>
      <c r="H1086" t="s">
        <v>679</v>
      </c>
      <c r="I1086">
        <v>35.9</v>
      </c>
      <c r="J1086" s="3">
        <v>13</v>
      </c>
      <c r="K1086" t="s">
        <v>2691</v>
      </c>
      <c r="L1086" t="s">
        <v>2691</v>
      </c>
      <c r="M1086" s="4">
        <v>0.69</v>
      </c>
      <c r="N1086" s="4">
        <v>0.69</v>
      </c>
    </row>
    <row r="1087" spans="1:14" x14ac:dyDescent="0.4">
      <c r="A1087">
        <v>1086</v>
      </c>
      <c r="B1087">
        <v>2015</v>
      </c>
      <c r="C1087" t="s">
        <v>2692</v>
      </c>
      <c r="D1087" t="str">
        <f>HYPERLINK("https://ota.tournamentsoftware.com/player-profile/B0DC1A2D-B87B-4E66-A5EE-9C9F6EC668D4", "Link")</f>
        <v>Link</v>
      </c>
      <c r="E1087" s="2">
        <v>13.839</v>
      </c>
      <c r="F1087" s="3">
        <v>3</v>
      </c>
      <c r="G1087" t="s">
        <v>25</v>
      </c>
      <c r="H1087" t="s">
        <v>311</v>
      </c>
      <c r="I1087">
        <v>39</v>
      </c>
      <c r="J1087" s="3">
        <v>12</v>
      </c>
      <c r="K1087" t="s">
        <v>1416</v>
      </c>
      <c r="L1087" t="s">
        <v>999</v>
      </c>
      <c r="M1087" s="4">
        <v>0.42</v>
      </c>
      <c r="N1087" s="4">
        <v>0.43</v>
      </c>
    </row>
    <row r="1088" spans="1:14" x14ac:dyDescent="0.4">
      <c r="A1088">
        <v>1087</v>
      </c>
      <c r="B1088">
        <v>2011</v>
      </c>
      <c r="C1088" t="s">
        <v>2693</v>
      </c>
      <c r="D1088" t="str">
        <f>HYPERLINK("https://ota.tournamentsoftware.com/player-profile/8D3F4117-D507-4450-BB64-C66DC7CA4B42", "Link")</f>
        <v>Link</v>
      </c>
      <c r="E1088" s="2">
        <v>13.836</v>
      </c>
      <c r="F1088" s="3">
        <v>1</v>
      </c>
      <c r="G1088" t="s">
        <v>20</v>
      </c>
      <c r="H1088" t="s">
        <v>252</v>
      </c>
      <c r="I1088" t="s">
        <v>48</v>
      </c>
      <c r="J1088" s="3">
        <v>51</v>
      </c>
      <c r="K1088" t="s">
        <v>2694</v>
      </c>
      <c r="L1088" t="s">
        <v>1524</v>
      </c>
      <c r="M1088" s="4">
        <v>0.27</v>
      </c>
      <c r="N1088" s="4">
        <v>0</v>
      </c>
    </row>
    <row r="1089" spans="1:14" x14ac:dyDescent="0.4">
      <c r="A1089">
        <v>1088</v>
      </c>
      <c r="B1089">
        <v>2011</v>
      </c>
      <c r="C1089" t="s">
        <v>2695</v>
      </c>
      <c r="D1089" t="str">
        <f>HYPERLINK("https://ota.tournamentsoftware.com/player-profile/5083B05D-664E-4D5F-BEFF-004FC8FCB3CB", "Link")</f>
        <v>Link</v>
      </c>
      <c r="E1089" s="2">
        <v>13.744</v>
      </c>
      <c r="F1089" s="3">
        <v>1</v>
      </c>
      <c r="G1089" t="s">
        <v>25</v>
      </c>
      <c r="H1089" t="s">
        <v>16</v>
      </c>
      <c r="I1089">
        <v>39.200000000000003</v>
      </c>
      <c r="J1089" s="3">
        <v>62</v>
      </c>
      <c r="K1089" t="s">
        <v>2696</v>
      </c>
      <c r="L1089" t="s">
        <v>1524</v>
      </c>
      <c r="M1089" s="4">
        <v>0.23</v>
      </c>
      <c r="N1089" s="4">
        <v>0</v>
      </c>
    </row>
    <row r="1090" spans="1:14" x14ac:dyDescent="0.4">
      <c r="A1090">
        <v>1089</v>
      </c>
      <c r="B1090">
        <v>2012</v>
      </c>
      <c r="C1090" t="s">
        <v>2697</v>
      </c>
      <c r="D1090" t="str">
        <f>HYPERLINK("https://ota.tournamentsoftware.com/player-profile/EC29FADF-ECEA-4CC3-AE9B-2987D1E47266", "Link")</f>
        <v>Link</v>
      </c>
      <c r="E1090" s="2">
        <v>13.725</v>
      </c>
      <c r="F1090" s="3">
        <v>2</v>
      </c>
      <c r="G1090" t="s">
        <v>20</v>
      </c>
      <c r="H1090" t="s">
        <v>1869</v>
      </c>
      <c r="I1090">
        <v>37</v>
      </c>
      <c r="J1090" s="3">
        <v>18</v>
      </c>
      <c r="K1090" t="s">
        <v>720</v>
      </c>
      <c r="L1090" t="s">
        <v>892</v>
      </c>
      <c r="M1090" s="4">
        <v>0.44</v>
      </c>
      <c r="N1090" s="4">
        <v>0.5</v>
      </c>
    </row>
    <row r="1091" spans="1:14" x14ac:dyDescent="0.4">
      <c r="A1091">
        <v>1090</v>
      </c>
      <c r="B1091">
        <v>2016</v>
      </c>
      <c r="C1091" t="s">
        <v>2698</v>
      </c>
      <c r="D1091" t="str">
        <f>HYPERLINK("https://ota.tournamentsoftware.com/player-profile/7F8FB01C-3EB1-48B9-B051-119BB01F4118", "Link")</f>
        <v>Link</v>
      </c>
      <c r="E1091" s="2">
        <v>13.68</v>
      </c>
      <c r="F1091" s="3">
        <v>5</v>
      </c>
      <c r="G1091" t="s">
        <v>29</v>
      </c>
      <c r="H1091" t="s">
        <v>2003</v>
      </c>
      <c r="I1091">
        <v>38</v>
      </c>
      <c r="J1091" s="3">
        <v>18</v>
      </c>
      <c r="K1091" t="s">
        <v>2349</v>
      </c>
      <c r="L1091" t="s">
        <v>2349</v>
      </c>
      <c r="M1091" s="4">
        <v>0.28000000000000003</v>
      </c>
      <c r="N1091" s="4">
        <v>0.28000000000000003</v>
      </c>
    </row>
    <row r="1092" spans="1:14" x14ac:dyDescent="0.4">
      <c r="A1092">
        <v>1091</v>
      </c>
      <c r="B1092">
        <v>2013</v>
      </c>
      <c r="C1092" t="s">
        <v>2699</v>
      </c>
      <c r="D1092" t="str">
        <f>HYPERLINK("https://ota.tournamentsoftware.com/player-profile/482EDD14-11AD-4221-B031-4CDB8348AC62", "Link")</f>
        <v>Link</v>
      </c>
      <c r="E1092" s="2">
        <v>13.478</v>
      </c>
      <c r="F1092" s="3">
        <v>2</v>
      </c>
      <c r="G1092" t="s">
        <v>20</v>
      </c>
      <c r="H1092" t="s">
        <v>43</v>
      </c>
      <c r="I1092">
        <v>40</v>
      </c>
      <c r="J1092" s="3">
        <v>26</v>
      </c>
      <c r="K1092" t="s">
        <v>1044</v>
      </c>
      <c r="L1092" t="s">
        <v>879</v>
      </c>
      <c r="M1092" s="4">
        <v>0.31</v>
      </c>
      <c r="N1092" s="4">
        <v>0</v>
      </c>
    </row>
    <row r="1093" spans="1:14" x14ac:dyDescent="0.4">
      <c r="A1093">
        <v>1092</v>
      </c>
      <c r="B1093">
        <v>2013</v>
      </c>
      <c r="C1093" t="s">
        <v>2700</v>
      </c>
      <c r="D1093" t="str">
        <f>HYPERLINK("https://ota.tournamentsoftware.com/player-profile/D4247C6C-DBD8-41D1-867E-D35290341BA8", "Link")</f>
        <v>Link</v>
      </c>
      <c r="E1093" s="2">
        <v>13.23</v>
      </c>
      <c r="F1093" s="3">
        <v>2</v>
      </c>
      <c r="G1093" t="s">
        <v>20</v>
      </c>
      <c r="H1093" t="s">
        <v>1822</v>
      </c>
      <c r="I1093" t="s">
        <v>48</v>
      </c>
      <c r="J1093" s="3">
        <v>49</v>
      </c>
      <c r="K1093" t="s">
        <v>2701</v>
      </c>
      <c r="L1093" t="s">
        <v>523</v>
      </c>
      <c r="M1093" s="4">
        <v>0.56999999999999995</v>
      </c>
      <c r="N1093" s="4">
        <v>0.5</v>
      </c>
    </row>
    <row r="1094" spans="1:14" x14ac:dyDescent="0.4">
      <c r="A1094">
        <v>1093</v>
      </c>
      <c r="B1094">
        <v>2014</v>
      </c>
      <c r="C1094" t="s">
        <v>2702</v>
      </c>
      <c r="D1094" t="str">
        <f>HYPERLINK("https://ota.tournamentsoftware.com/player-profile/7ADA0A6D-C257-4896-AEB0-8E053AAA4B48", "Link")</f>
        <v>Link</v>
      </c>
      <c r="E1094" s="2">
        <v>13.092000000000001</v>
      </c>
      <c r="F1094" s="3">
        <v>2</v>
      </c>
      <c r="G1094" t="s">
        <v>25</v>
      </c>
      <c r="H1094" t="s">
        <v>240</v>
      </c>
      <c r="I1094">
        <v>36.6</v>
      </c>
      <c r="J1094" s="3">
        <v>18</v>
      </c>
      <c r="K1094" t="s">
        <v>2551</v>
      </c>
      <c r="L1094" t="s">
        <v>1243</v>
      </c>
      <c r="M1094" s="4">
        <v>0.17</v>
      </c>
      <c r="N1094" s="4">
        <v>0.4</v>
      </c>
    </row>
    <row r="1095" spans="1:14" x14ac:dyDescent="0.4">
      <c r="A1095">
        <v>1094</v>
      </c>
      <c r="B1095">
        <v>2013</v>
      </c>
      <c r="C1095" t="s">
        <v>2703</v>
      </c>
      <c r="D1095" t="str">
        <f>HYPERLINK("https://ota.tournamentsoftware.com/player-profile/A6697051-116D-4981-AA23-11E1BF963FD3", "Link")</f>
        <v>Link</v>
      </c>
      <c r="E1095" s="2">
        <v>13</v>
      </c>
      <c r="F1095" s="3">
        <v>1</v>
      </c>
      <c r="G1095" t="s">
        <v>29</v>
      </c>
      <c r="H1095" t="s">
        <v>686</v>
      </c>
      <c r="I1095">
        <v>37.200000000000003</v>
      </c>
      <c r="J1095" s="3">
        <v>56</v>
      </c>
      <c r="K1095" t="s">
        <v>656</v>
      </c>
      <c r="L1095" t="s">
        <v>31</v>
      </c>
      <c r="M1095" s="4">
        <v>0.52</v>
      </c>
      <c r="N1095" s="4">
        <v>0</v>
      </c>
    </row>
    <row r="1096" spans="1:14" x14ac:dyDescent="0.4">
      <c r="A1096">
        <v>1095</v>
      </c>
      <c r="B1096">
        <v>2010</v>
      </c>
      <c r="C1096" t="s">
        <v>2704</v>
      </c>
      <c r="D1096" t="str">
        <f>HYPERLINK("https://ota.tournamentsoftware.com/player-profile/FC2A8D04-8FC6-417B-8010-45296F97E134", "Link")</f>
        <v>Link</v>
      </c>
      <c r="E1096" s="2">
        <v>12.977</v>
      </c>
      <c r="F1096" s="3">
        <v>1</v>
      </c>
      <c r="G1096" t="s">
        <v>20</v>
      </c>
      <c r="H1096" t="s">
        <v>1822</v>
      </c>
      <c r="I1096">
        <v>35.1</v>
      </c>
      <c r="J1096" s="3">
        <v>5</v>
      </c>
      <c r="K1096" t="s">
        <v>76</v>
      </c>
      <c r="L1096" t="s">
        <v>1524</v>
      </c>
      <c r="M1096" s="4">
        <v>0.6</v>
      </c>
      <c r="N1096" s="4">
        <v>0</v>
      </c>
    </row>
    <row r="1097" spans="1:14" x14ac:dyDescent="0.4">
      <c r="A1097">
        <v>1096</v>
      </c>
      <c r="B1097">
        <v>2012</v>
      </c>
      <c r="C1097" t="s">
        <v>2705</v>
      </c>
      <c r="D1097" t="str">
        <f>HYPERLINK("https://ota.tournamentsoftware.com/player-profile/040F8D36-CAF3-4E90-85FB-8F17F2F92E8F", "Link")</f>
        <v>Link</v>
      </c>
      <c r="E1097" s="2">
        <v>12.906000000000001</v>
      </c>
      <c r="F1097" s="3">
        <v>1</v>
      </c>
      <c r="G1097" t="s">
        <v>29</v>
      </c>
      <c r="H1097" t="s">
        <v>2706</v>
      </c>
      <c r="I1097">
        <v>38.5</v>
      </c>
      <c r="J1097" s="3">
        <v>7</v>
      </c>
      <c r="K1097" t="s">
        <v>534</v>
      </c>
      <c r="L1097" t="s">
        <v>1524</v>
      </c>
      <c r="M1097" s="4">
        <v>0.56999999999999995</v>
      </c>
      <c r="N1097" s="4">
        <v>0</v>
      </c>
    </row>
    <row r="1098" spans="1:14" x14ac:dyDescent="0.4">
      <c r="A1098">
        <v>1097</v>
      </c>
      <c r="B1098">
        <v>2016</v>
      </c>
      <c r="C1098" t="s">
        <v>2707</v>
      </c>
      <c r="D1098" t="str">
        <f>HYPERLINK("https://ota.tournamentsoftware.com/player-profile/97BF71BC-EF3B-40A8-B2A8-4211E6570024", "Link")</f>
        <v>Link</v>
      </c>
      <c r="E1098" s="2">
        <v>12.871</v>
      </c>
      <c r="F1098" s="3">
        <v>2</v>
      </c>
      <c r="G1098" t="s">
        <v>25</v>
      </c>
      <c r="H1098" t="s">
        <v>289</v>
      </c>
      <c r="I1098">
        <v>37.1</v>
      </c>
      <c r="J1098" s="3">
        <v>84</v>
      </c>
      <c r="K1098" t="s">
        <v>2708</v>
      </c>
      <c r="L1098" t="s">
        <v>309</v>
      </c>
      <c r="M1098" s="4">
        <v>0.56999999999999995</v>
      </c>
      <c r="N1098" s="4">
        <v>0.56999999999999995</v>
      </c>
    </row>
    <row r="1099" spans="1:14" x14ac:dyDescent="0.4">
      <c r="A1099">
        <v>1098</v>
      </c>
      <c r="B1099">
        <v>2013</v>
      </c>
      <c r="C1099" t="s">
        <v>2709</v>
      </c>
      <c r="D1099" t="str">
        <f>HYPERLINK("https://ota.tournamentsoftware.com/player-profile/C50AF072-EF16-4516-9D5D-42DF1D345F44", "Link")</f>
        <v>Link</v>
      </c>
      <c r="E1099" s="2">
        <v>12.686999999999999</v>
      </c>
      <c r="F1099" s="3">
        <v>5</v>
      </c>
      <c r="G1099" t="s">
        <v>109</v>
      </c>
      <c r="H1099" t="s">
        <v>1714</v>
      </c>
      <c r="I1099">
        <v>38.1</v>
      </c>
      <c r="J1099" s="3">
        <v>48</v>
      </c>
      <c r="K1099" t="s">
        <v>2710</v>
      </c>
      <c r="L1099" t="s">
        <v>1674</v>
      </c>
      <c r="M1099" s="4">
        <v>0.38</v>
      </c>
      <c r="N1099" s="4">
        <v>0.2</v>
      </c>
    </row>
    <row r="1100" spans="1:14" x14ac:dyDescent="0.4">
      <c r="A1100">
        <v>1099</v>
      </c>
      <c r="B1100">
        <v>2015</v>
      </c>
      <c r="C1100" t="s">
        <v>2711</v>
      </c>
      <c r="D1100" t="str">
        <f>HYPERLINK("https://ota.tournamentsoftware.com/player-profile/A09D283B-5C23-4F54-A304-0C0125F7637B", "Link")</f>
        <v>Link</v>
      </c>
      <c r="E1100" s="2">
        <v>12.632</v>
      </c>
      <c r="F1100" s="3">
        <v>3</v>
      </c>
      <c r="G1100" t="s">
        <v>369</v>
      </c>
      <c r="H1100" t="s">
        <v>370</v>
      </c>
      <c r="I1100" t="s">
        <v>48</v>
      </c>
      <c r="J1100" s="3">
        <v>39</v>
      </c>
      <c r="K1100" t="s">
        <v>1064</v>
      </c>
      <c r="L1100" t="s">
        <v>433</v>
      </c>
      <c r="M1100" s="4">
        <v>0.36</v>
      </c>
      <c r="N1100" s="4">
        <v>0</v>
      </c>
    </row>
    <row r="1101" spans="1:14" x14ac:dyDescent="0.4">
      <c r="A1101">
        <v>1100</v>
      </c>
      <c r="B1101">
        <v>2015</v>
      </c>
      <c r="C1101" t="s">
        <v>2712</v>
      </c>
      <c r="D1101" t="str">
        <f>HYPERLINK("https://ota.tournamentsoftware.com/player-profile/7C4A6760-7216-46E2-B5F7-A7F51935EA6B", "Link")</f>
        <v>Link</v>
      </c>
      <c r="E1101" s="2">
        <v>12.6</v>
      </c>
      <c r="F1101" s="3">
        <v>1</v>
      </c>
      <c r="G1101" t="s">
        <v>29</v>
      </c>
      <c r="H1101" t="s">
        <v>374</v>
      </c>
      <c r="I1101">
        <v>37.299999999999997</v>
      </c>
      <c r="J1101" s="3">
        <v>95</v>
      </c>
      <c r="K1101" t="s">
        <v>2713</v>
      </c>
      <c r="L1101" t="s">
        <v>31</v>
      </c>
      <c r="M1101" s="4">
        <v>0.66</v>
      </c>
      <c r="N1101" s="4">
        <v>0</v>
      </c>
    </row>
    <row r="1102" spans="1:14" x14ac:dyDescent="0.4">
      <c r="A1102">
        <v>1101</v>
      </c>
      <c r="B1102">
        <v>2015</v>
      </c>
      <c r="C1102" t="s">
        <v>2714</v>
      </c>
      <c r="D1102" t="str">
        <f>HYPERLINK("https://ota.tournamentsoftware.com/player-profile/150EC5E4-980E-4649-9619-E10B11D9BA5E", "Link")</f>
        <v>Link</v>
      </c>
      <c r="E1102" s="2">
        <v>12.528</v>
      </c>
      <c r="F1102" s="3">
        <v>3</v>
      </c>
      <c r="G1102" t="s">
        <v>20</v>
      </c>
      <c r="H1102" t="s">
        <v>1822</v>
      </c>
      <c r="I1102">
        <v>36.200000000000003</v>
      </c>
      <c r="J1102" s="3">
        <v>39</v>
      </c>
      <c r="K1102" t="s">
        <v>2715</v>
      </c>
      <c r="L1102" t="s">
        <v>1240</v>
      </c>
      <c r="M1102" s="4">
        <v>0.38</v>
      </c>
      <c r="N1102" s="4">
        <v>0.5</v>
      </c>
    </row>
    <row r="1103" spans="1:14" x14ac:dyDescent="0.4">
      <c r="A1103">
        <v>1102</v>
      </c>
      <c r="B1103">
        <v>2013</v>
      </c>
      <c r="C1103" t="s">
        <v>2716</v>
      </c>
      <c r="D1103" t="str">
        <f>HYPERLINK("https://ota.tournamentsoftware.com/player-profile/0597AAB7-43E9-42CF-B00B-4928F8A2A1CD", "Link")</f>
        <v>Link</v>
      </c>
      <c r="E1103" s="2">
        <v>12.478999999999999</v>
      </c>
      <c r="F1103" s="3">
        <v>3</v>
      </c>
      <c r="G1103" t="s">
        <v>29</v>
      </c>
      <c r="H1103" t="s">
        <v>2717</v>
      </c>
      <c r="I1103">
        <v>39.9</v>
      </c>
      <c r="J1103" s="3">
        <v>14</v>
      </c>
      <c r="K1103" t="s">
        <v>1574</v>
      </c>
      <c r="L1103" t="s">
        <v>31</v>
      </c>
      <c r="M1103" s="4">
        <v>0.14000000000000001</v>
      </c>
      <c r="N1103" s="4">
        <v>0</v>
      </c>
    </row>
    <row r="1104" spans="1:14" x14ac:dyDescent="0.4">
      <c r="A1104">
        <v>1103</v>
      </c>
      <c r="B1104">
        <v>2013</v>
      </c>
      <c r="C1104" t="s">
        <v>2718</v>
      </c>
      <c r="D1104" t="str">
        <f>HYPERLINK("https://ota.tournamentsoftware.com/player-profile/32F60D7D-3E57-4800-9C5C-282147021863", "Link")</f>
        <v>Link</v>
      </c>
      <c r="E1104" s="2">
        <v>12.378</v>
      </c>
      <c r="F1104" s="3">
        <v>2</v>
      </c>
      <c r="G1104" t="s">
        <v>29</v>
      </c>
      <c r="H1104" t="s">
        <v>1652</v>
      </c>
      <c r="I1104">
        <v>39.700000000000003</v>
      </c>
      <c r="J1104" s="3">
        <v>31</v>
      </c>
      <c r="K1104" t="s">
        <v>2719</v>
      </c>
      <c r="L1104" t="s">
        <v>1524</v>
      </c>
      <c r="M1104" s="4">
        <v>0.28999999999999998</v>
      </c>
      <c r="N1104" s="4">
        <v>0</v>
      </c>
    </row>
    <row r="1105" spans="1:14" x14ac:dyDescent="0.4">
      <c r="A1105">
        <v>1104</v>
      </c>
      <c r="B1105">
        <v>2011</v>
      </c>
      <c r="C1105" t="s">
        <v>2720</v>
      </c>
      <c r="D1105" t="str">
        <f>HYPERLINK("https://ota.tournamentsoftware.com/player-profile/470D5167-CA54-4F9F-BF1E-F7FF9892A8B3", "Link")</f>
        <v>Link</v>
      </c>
      <c r="E1105" s="2">
        <v>12.336</v>
      </c>
      <c r="F1105" s="3">
        <v>1</v>
      </c>
      <c r="G1105" t="s">
        <v>25</v>
      </c>
      <c r="H1105" t="s">
        <v>16</v>
      </c>
      <c r="I1105" t="s">
        <v>48</v>
      </c>
      <c r="J1105" s="3">
        <v>1</v>
      </c>
      <c r="K1105" t="s">
        <v>433</v>
      </c>
      <c r="L1105" t="s">
        <v>31</v>
      </c>
      <c r="M1105" s="4">
        <v>0</v>
      </c>
      <c r="N1105" s="4">
        <v>0</v>
      </c>
    </row>
    <row r="1106" spans="1:14" x14ac:dyDescent="0.4">
      <c r="A1106">
        <v>1104</v>
      </c>
      <c r="B1106">
        <v>2012</v>
      </c>
      <c r="C1106" t="s">
        <v>2721</v>
      </c>
      <c r="D1106" t="str">
        <f>HYPERLINK("https://ota.tournamentsoftware.com/player-profile/60444867-D5FF-4226-8841-4058D520099B", "Link")</f>
        <v>Link</v>
      </c>
      <c r="E1106" s="2">
        <v>12.336</v>
      </c>
      <c r="F1106" s="3">
        <v>1</v>
      </c>
      <c r="G1106" t="s">
        <v>29</v>
      </c>
      <c r="H1106" t="s">
        <v>141</v>
      </c>
      <c r="I1106">
        <v>37.700000000000003</v>
      </c>
      <c r="J1106" s="3">
        <v>8</v>
      </c>
      <c r="K1106" t="s">
        <v>1030</v>
      </c>
      <c r="L1106" t="s">
        <v>1030</v>
      </c>
      <c r="M1106" s="4">
        <v>0.25</v>
      </c>
      <c r="N1106" s="4">
        <v>0.25</v>
      </c>
    </row>
    <row r="1107" spans="1:14" x14ac:dyDescent="0.4">
      <c r="A1107">
        <v>1106</v>
      </c>
      <c r="B1107">
        <v>2013</v>
      </c>
      <c r="C1107" t="s">
        <v>2722</v>
      </c>
      <c r="D1107" t="str">
        <f>HYPERLINK("https://ota.tournamentsoftware.com/player-profile/969F22DA-6980-4E13-BAE2-6BD2D0C08F88", "Link")</f>
        <v>Link</v>
      </c>
      <c r="E1107" s="2">
        <v>12.138</v>
      </c>
      <c r="F1107" s="3">
        <v>2</v>
      </c>
      <c r="G1107" t="s">
        <v>20</v>
      </c>
      <c r="H1107" t="s">
        <v>2723</v>
      </c>
      <c r="I1107">
        <v>38.5</v>
      </c>
      <c r="J1107" s="3">
        <v>103</v>
      </c>
      <c r="K1107" t="s">
        <v>2724</v>
      </c>
      <c r="L1107" t="s">
        <v>872</v>
      </c>
      <c r="M1107" s="4">
        <v>0.31</v>
      </c>
      <c r="N1107" s="4">
        <v>0.28999999999999998</v>
      </c>
    </row>
    <row r="1108" spans="1:14" x14ac:dyDescent="0.4">
      <c r="A1108">
        <v>1107</v>
      </c>
      <c r="B1108">
        <v>2016</v>
      </c>
      <c r="C1108" t="s">
        <v>2725</v>
      </c>
      <c r="D1108" t="str">
        <f>HYPERLINK("https://ota.tournamentsoftware.com/player-profile/6BCCA5B4-7059-414C-A06D-D2936B6A3CC2", "Link")</f>
        <v>Link</v>
      </c>
      <c r="E1108" s="2">
        <v>12</v>
      </c>
      <c r="F1108" s="3">
        <v>4</v>
      </c>
      <c r="G1108" t="s">
        <v>25</v>
      </c>
      <c r="H1108" t="s">
        <v>85</v>
      </c>
      <c r="I1108" t="s">
        <v>48</v>
      </c>
      <c r="J1108" s="3">
        <v>90</v>
      </c>
      <c r="K1108" t="s">
        <v>2726</v>
      </c>
      <c r="L1108" t="s">
        <v>2727</v>
      </c>
      <c r="M1108" s="4">
        <v>0.4</v>
      </c>
      <c r="N1108" s="4">
        <v>0.56000000000000005</v>
      </c>
    </row>
    <row r="1109" spans="1:14" x14ac:dyDescent="0.4">
      <c r="A1109">
        <v>1107</v>
      </c>
      <c r="B1109">
        <v>2016</v>
      </c>
      <c r="C1109" t="s">
        <v>2728</v>
      </c>
      <c r="D1109" t="str">
        <f>HYPERLINK("https://ota.tournamentsoftware.com/player-profile/417EBA88-24AB-42AB-9421-1764C4FCA777", "Link")</f>
        <v>Link</v>
      </c>
      <c r="E1109" s="2">
        <v>12</v>
      </c>
      <c r="F1109" s="3">
        <v>2</v>
      </c>
      <c r="G1109" t="s">
        <v>497</v>
      </c>
      <c r="H1109" t="s">
        <v>498</v>
      </c>
      <c r="I1109" t="s">
        <v>48</v>
      </c>
      <c r="J1109" s="3">
        <v>14</v>
      </c>
      <c r="K1109" t="s">
        <v>1090</v>
      </c>
      <c r="L1109" t="s">
        <v>1554</v>
      </c>
      <c r="M1109" s="4">
        <v>0.28999999999999998</v>
      </c>
      <c r="N1109" s="4">
        <v>0.33</v>
      </c>
    </row>
    <row r="1110" spans="1:14" x14ac:dyDescent="0.4">
      <c r="A1110">
        <v>1109</v>
      </c>
      <c r="B1110">
        <v>2014</v>
      </c>
      <c r="C1110" t="s">
        <v>2729</v>
      </c>
      <c r="D1110" t="str">
        <f>HYPERLINK("https://ota.tournamentsoftware.com/player-profile/EB31E71A-90E6-4B10-9538-33BC7B66EA6E", "Link")</f>
        <v>Link</v>
      </c>
      <c r="E1110" s="2">
        <v>11.808999999999999</v>
      </c>
      <c r="F1110" s="3">
        <v>3</v>
      </c>
      <c r="G1110" t="s">
        <v>25</v>
      </c>
      <c r="H1110" t="s">
        <v>2730</v>
      </c>
      <c r="I1110">
        <v>38.1</v>
      </c>
      <c r="J1110" s="3">
        <v>11</v>
      </c>
      <c r="K1110" t="s">
        <v>1147</v>
      </c>
      <c r="L1110" t="s">
        <v>1243</v>
      </c>
      <c r="M1110" s="4">
        <v>0.36</v>
      </c>
      <c r="N1110" s="4">
        <v>0.4</v>
      </c>
    </row>
    <row r="1111" spans="1:14" x14ac:dyDescent="0.4">
      <c r="A1111">
        <v>1110</v>
      </c>
      <c r="B1111">
        <v>2012</v>
      </c>
      <c r="C1111" t="s">
        <v>2731</v>
      </c>
      <c r="D1111" t="str">
        <f>HYPERLINK("https://ota.tournamentsoftware.com/player-profile/2BF37F0F-B2BA-4533-859D-5AFB82154AAC", "Link")</f>
        <v>Link</v>
      </c>
      <c r="E1111" s="2">
        <v>11.664</v>
      </c>
      <c r="F1111" s="3">
        <v>1</v>
      </c>
      <c r="G1111" t="s">
        <v>173</v>
      </c>
      <c r="H1111" t="s">
        <v>174</v>
      </c>
      <c r="I1111">
        <v>36.799999999999997</v>
      </c>
      <c r="J1111" s="3">
        <v>2</v>
      </c>
      <c r="K1111" t="s">
        <v>1524</v>
      </c>
      <c r="L1111" t="s">
        <v>31</v>
      </c>
      <c r="M1111" s="4">
        <v>0</v>
      </c>
      <c r="N1111" s="4">
        <v>0</v>
      </c>
    </row>
    <row r="1112" spans="1:14" x14ac:dyDescent="0.4">
      <c r="A1112">
        <v>1111</v>
      </c>
      <c r="B1112">
        <v>2013</v>
      </c>
      <c r="C1112" t="s">
        <v>2732</v>
      </c>
      <c r="D1112" t="str">
        <f>HYPERLINK("https://ota.tournamentsoftware.com/player-profile/2E2CA1C3-86CC-418F-BF1B-9B9E4D99F292", "Link")</f>
        <v>Link</v>
      </c>
      <c r="E1112" s="2">
        <v>11.48</v>
      </c>
      <c r="F1112" s="3">
        <v>2</v>
      </c>
      <c r="G1112" t="s">
        <v>20</v>
      </c>
      <c r="H1112" t="s">
        <v>919</v>
      </c>
      <c r="I1112">
        <v>36.9</v>
      </c>
      <c r="J1112" s="3">
        <v>44</v>
      </c>
      <c r="K1112" t="s">
        <v>2733</v>
      </c>
      <c r="L1112" t="s">
        <v>31</v>
      </c>
      <c r="M1112" s="4">
        <v>0.23</v>
      </c>
      <c r="N1112" s="4">
        <v>0</v>
      </c>
    </row>
    <row r="1113" spans="1:14" x14ac:dyDescent="0.4">
      <c r="A1113">
        <v>1112</v>
      </c>
      <c r="B1113">
        <v>2015</v>
      </c>
      <c r="C1113" t="s">
        <v>2734</v>
      </c>
      <c r="D1113" t="str">
        <f>HYPERLINK("https://ota.tournamentsoftware.com/player-profile/C64DEFB9-4BBC-4AA1-8CC8-9020440935AB", "Link")</f>
        <v>Link</v>
      </c>
      <c r="E1113" s="2">
        <v>11.448</v>
      </c>
      <c r="F1113" s="3">
        <v>1</v>
      </c>
      <c r="G1113" t="s">
        <v>173</v>
      </c>
      <c r="H1113" t="s">
        <v>174</v>
      </c>
      <c r="I1113">
        <v>33.200000000000003</v>
      </c>
      <c r="J1113" s="3">
        <v>23</v>
      </c>
      <c r="K1113" t="s">
        <v>2735</v>
      </c>
      <c r="L1113" t="s">
        <v>2462</v>
      </c>
      <c r="M1113" s="4">
        <v>0.7</v>
      </c>
      <c r="N1113" s="4">
        <v>0.67</v>
      </c>
    </row>
    <row r="1114" spans="1:14" x14ac:dyDescent="0.4">
      <c r="A1114">
        <v>1112</v>
      </c>
      <c r="B1114">
        <v>2016</v>
      </c>
      <c r="C1114" t="s">
        <v>2736</v>
      </c>
      <c r="D1114" t="str">
        <f>HYPERLINK("https://ota.tournamentsoftware.com/player-profile/11F4D113-D7D4-48BC-9EC5-3040B116C96D", "Link")</f>
        <v>Link</v>
      </c>
      <c r="E1114" s="2">
        <v>11.448</v>
      </c>
      <c r="F1114" s="3">
        <v>8</v>
      </c>
      <c r="G1114" t="s">
        <v>173</v>
      </c>
      <c r="H1114" t="s">
        <v>174</v>
      </c>
      <c r="I1114">
        <v>38.200000000000003</v>
      </c>
      <c r="J1114" s="3">
        <v>80</v>
      </c>
      <c r="K1114" t="s">
        <v>2737</v>
      </c>
      <c r="L1114" t="s">
        <v>2008</v>
      </c>
      <c r="M1114" s="4">
        <v>0.44</v>
      </c>
      <c r="N1114" s="4">
        <v>0.4</v>
      </c>
    </row>
    <row r="1115" spans="1:14" x14ac:dyDescent="0.4">
      <c r="A1115">
        <v>1114</v>
      </c>
      <c r="B1115">
        <v>2015</v>
      </c>
      <c r="C1115" t="s">
        <v>2738</v>
      </c>
      <c r="D1115" t="str">
        <f>HYPERLINK("https://ota.tournamentsoftware.com/player-profile/D1C4971B-CB54-436E-9303-C69424DC84AC", "Link")</f>
        <v>Link</v>
      </c>
      <c r="E1115" s="2">
        <v>11.429</v>
      </c>
      <c r="F1115" s="3">
        <v>1</v>
      </c>
      <c r="G1115" t="s">
        <v>25</v>
      </c>
      <c r="H1115" t="s">
        <v>26</v>
      </c>
      <c r="I1115">
        <v>37</v>
      </c>
      <c r="J1115" s="3">
        <v>32</v>
      </c>
      <c r="K1115" t="s">
        <v>895</v>
      </c>
      <c r="L1115" t="s">
        <v>433</v>
      </c>
      <c r="M1115" s="4">
        <v>0.47</v>
      </c>
      <c r="N1115" s="4">
        <v>0</v>
      </c>
    </row>
    <row r="1116" spans="1:14" x14ac:dyDescent="0.4">
      <c r="A1116">
        <v>1115</v>
      </c>
      <c r="B1116">
        <v>2012</v>
      </c>
      <c r="C1116" t="s">
        <v>2739</v>
      </c>
      <c r="D1116" t="str">
        <f>HYPERLINK("https://ota.tournamentsoftware.com/player-profile/F7818ED5-A370-4D5D-9CAE-03309F03D5FD", "Link")</f>
        <v>Link</v>
      </c>
      <c r="E1116" s="2">
        <v>11.301</v>
      </c>
      <c r="F1116" s="3">
        <v>3</v>
      </c>
      <c r="G1116" t="s">
        <v>109</v>
      </c>
      <c r="H1116" t="s">
        <v>2681</v>
      </c>
      <c r="I1116" t="s">
        <v>48</v>
      </c>
      <c r="J1116" s="3">
        <v>52</v>
      </c>
      <c r="K1116" t="s">
        <v>2740</v>
      </c>
      <c r="L1116" t="s">
        <v>31</v>
      </c>
      <c r="M1116" s="4">
        <v>0.44</v>
      </c>
      <c r="N1116" s="4">
        <v>0</v>
      </c>
    </row>
    <row r="1117" spans="1:14" x14ac:dyDescent="0.4">
      <c r="A1117">
        <v>1116</v>
      </c>
      <c r="B1117">
        <v>2014</v>
      </c>
      <c r="C1117" t="s">
        <v>2741</v>
      </c>
      <c r="D1117" t="str">
        <f>HYPERLINK("https://ota.tournamentsoftware.com/player-profile/1A9BA311-0F1E-40A7-9341-ECED97AEEBBD", "Link")</f>
        <v>Link</v>
      </c>
      <c r="E1117" s="2">
        <v>11.286</v>
      </c>
      <c r="F1117" s="3">
        <v>2</v>
      </c>
      <c r="G1117" t="s">
        <v>29</v>
      </c>
      <c r="H1117" t="s">
        <v>1771</v>
      </c>
      <c r="I1117">
        <v>36.799999999999997</v>
      </c>
      <c r="J1117" s="3">
        <v>45</v>
      </c>
      <c r="K1117" t="s">
        <v>684</v>
      </c>
      <c r="L1117" t="s">
        <v>2168</v>
      </c>
      <c r="M1117" s="4">
        <v>0.51</v>
      </c>
      <c r="N1117" s="4">
        <v>0.64</v>
      </c>
    </row>
    <row r="1118" spans="1:14" x14ac:dyDescent="0.4">
      <c r="A1118">
        <v>1117</v>
      </c>
      <c r="B1118">
        <v>2016</v>
      </c>
      <c r="C1118" t="s">
        <v>2742</v>
      </c>
      <c r="D1118" t="str">
        <f>HYPERLINK("https://ota.tournamentsoftware.com/player-profile/144D222A-CD06-4355-817D-B27D5DB62B85", "Link")</f>
        <v>Link</v>
      </c>
      <c r="E1118" s="2">
        <v>11.141</v>
      </c>
      <c r="F1118" s="3">
        <v>3</v>
      </c>
      <c r="G1118" t="s">
        <v>29</v>
      </c>
      <c r="H1118" t="s">
        <v>1344</v>
      </c>
      <c r="I1118">
        <v>37.6</v>
      </c>
      <c r="J1118" s="3">
        <v>67</v>
      </c>
      <c r="K1118" t="s">
        <v>911</v>
      </c>
      <c r="L1118" t="s">
        <v>2735</v>
      </c>
      <c r="M1118" s="4">
        <v>0.54</v>
      </c>
      <c r="N1118" s="4">
        <v>0.7</v>
      </c>
    </row>
    <row r="1119" spans="1:14" x14ac:dyDescent="0.4">
      <c r="A1119">
        <v>1118</v>
      </c>
      <c r="B1119">
        <v>2015</v>
      </c>
      <c r="C1119" t="s">
        <v>2743</v>
      </c>
      <c r="D1119" t="str">
        <f>HYPERLINK("https://ota.tournamentsoftware.com/player-profile/FACB5C24-4DB7-463B-A373-69C70E1AC8E4", "Link")</f>
        <v>Link</v>
      </c>
      <c r="E1119" s="2">
        <v>11.042999999999999</v>
      </c>
      <c r="F1119" s="3">
        <v>3</v>
      </c>
      <c r="G1119" t="s">
        <v>20</v>
      </c>
      <c r="H1119" t="s">
        <v>2744</v>
      </c>
      <c r="I1119">
        <v>37.200000000000003</v>
      </c>
      <c r="J1119" s="3">
        <v>40</v>
      </c>
      <c r="K1119" t="s">
        <v>359</v>
      </c>
      <c r="L1119" t="s">
        <v>1433</v>
      </c>
      <c r="M1119" s="4">
        <v>0.5</v>
      </c>
      <c r="N1119" s="4">
        <v>0.38</v>
      </c>
    </row>
    <row r="1120" spans="1:14" x14ac:dyDescent="0.4">
      <c r="A1120">
        <v>1119</v>
      </c>
      <c r="B1120">
        <v>2010</v>
      </c>
      <c r="C1120" t="s">
        <v>2745</v>
      </c>
      <c r="D1120" t="str">
        <f>HYPERLINK("https://ota.tournamentsoftware.com/player-profile/3FAF57B1-50AA-49C3-B293-C140C1F61414", "Link")</f>
        <v>Link</v>
      </c>
      <c r="E1120" s="2">
        <v>11.03</v>
      </c>
      <c r="F1120" s="3">
        <v>2</v>
      </c>
      <c r="G1120" t="s">
        <v>109</v>
      </c>
      <c r="H1120" t="s">
        <v>2681</v>
      </c>
      <c r="I1120">
        <v>37.5</v>
      </c>
      <c r="J1120" s="3">
        <v>35</v>
      </c>
      <c r="K1120" t="s">
        <v>2746</v>
      </c>
      <c r="L1120" t="s">
        <v>1284</v>
      </c>
      <c r="M1120" s="4">
        <v>0.17</v>
      </c>
      <c r="N1120" s="4">
        <v>0.33</v>
      </c>
    </row>
    <row r="1121" spans="1:14" x14ac:dyDescent="0.4">
      <c r="A1121">
        <v>1120</v>
      </c>
      <c r="B1121">
        <v>2012</v>
      </c>
      <c r="C1121" t="s">
        <v>2747</v>
      </c>
      <c r="D1121" t="str">
        <f>HYPERLINK("https://ota.tournamentsoftware.com/player-profile/FE33DD51-BEAF-4E17-BDBB-2558B4A2AFE6", "Link")</f>
        <v>Link</v>
      </c>
      <c r="E1121" s="2">
        <v>11.010999999999999</v>
      </c>
      <c r="F1121" s="3">
        <v>1</v>
      </c>
      <c r="G1121" t="s">
        <v>29</v>
      </c>
      <c r="H1121" t="s">
        <v>2748</v>
      </c>
      <c r="I1121">
        <v>34.6</v>
      </c>
      <c r="J1121" s="3">
        <v>16</v>
      </c>
      <c r="K1121" t="s">
        <v>2749</v>
      </c>
      <c r="L1121" t="s">
        <v>2749</v>
      </c>
      <c r="M1121" s="4">
        <v>0.62</v>
      </c>
      <c r="N1121" s="4">
        <v>0.62</v>
      </c>
    </row>
    <row r="1122" spans="1:14" x14ac:dyDescent="0.4">
      <c r="A1122">
        <v>1121</v>
      </c>
      <c r="B1122">
        <v>2014</v>
      </c>
      <c r="C1122" t="s">
        <v>2750</v>
      </c>
      <c r="D1122" t="str">
        <f>HYPERLINK("https://ota.tournamentsoftware.com/player-profile/4141EEE9-8372-4477-B6C4-DE0E9616249B", "Link")</f>
        <v>Link</v>
      </c>
      <c r="E1122" s="2">
        <v>11.010999999999999</v>
      </c>
      <c r="F1122" s="3">
        <v>2</v>
      </c>
      <c r="G1122" t="s">
        <v>29</v>
      </c>
      <c r="H1122" t="s">
        <v>2751</v>
      </c>
      <c r="I1122">
        <v>38.799999999999997</v>
      </c>
      <c r="J1122" s="3">
        <v>18</v>
      </c>
      <c r="K1122" t="s">
        <v>2128</v>
      </c>
      <c r="L1122" t="s">
        <v>2128</v>
      </c>
      <c r="M1122" s="4">
        <v>0.61</v>
      </c>
      <c r="N1122" s="4">
        <v>0.61</v>
      </c>
    </row>
    <row r="1123" spans="1:14" x14ac:dyDescent="0.4">
      <c r="A1123">
        <v>1122</v>
      </c>
      <c r="B1123">
        <v>2015</v>
      </c>
      <c r="C1123" t="s">
        <v>2752</v>
      </c>
      <c r="D1123" t="str">
        <f>HYPERLINK("https://ota.tournamentsoftware.com/player-profile/B37A6388-D965-4303-A37E-1111875A98DF", "Link")</f>
        <v>Link</v>
      </c>
      <c r="E1123" s="2">
        <v>10.872999999999999</v>
      </c>
      <c r="F1123" s="3">
        <v>1</v>
      </c>
      <c r="G1123" t="s">
        <v>25</v>
      </c>
      <c r="H1123" t="s">
        <v>289</v>
      </c>
      <c r="I1123">
        <v>39.4</v>
      </c>
      <c r="J1123" s="3">
        <v>12</v>
      </c>
      <c r="K1123" t="s">
        <v>68</v>
      </c>
      <c r="L1123" t="s">
        <v>433</v>
      </c>
      <c r="M1123" s="4">
        <v>0.57999999999999996</v>
      </c>
      <c r="N1123" s="4">
        <v>0</v>
      </c>
    </row>
    <row r="1124" spans="1:14" x14ac:dyDescent="0.4">
      <c r="A1124">
        <v>1123</v>
      </c>
      <c r="B1124">
        <v>2016</v>
      </c>
      <c r="C1124" t="s">
        <v>2753</v>
      </c>
      <c r="D1124" t="str">
        <f>HYPERLINK("https://ota.tournamentsoftware.com/player-profile/60E4C9B4-B466-467C-B9D3-335A318BE74C", "Link")</f>
        <v>Link</v>
      </c>
      <c r="E1124" s="2">
        <v>10.8</v>
      </c>
      <c r="F1124" s="3">
        <v>2</v>
      </c>
      <c r="G1124" t="s">
        <v>29</v>
      </c>
      <c r="H1124" t="s">
        <v>81</v>
      </c>
      <c r="I1124">
        <v>37</v>
      </c>
      <c r="J1124" s="3">
        <v>83</v>
      </c>
      <c r="K1124" t="s">
        <v>2754</v>
      </c>
      <c r="L1124" t="s">
        <v>2754</v>
      </c>
      <c r="M1124" s="4">
        <v>0.63</v>
      </c>
      <c r="N1124" s="4">
        <v>0.63</v>
      </c>
    </row>
    <row r="1125" spans="1:14" x14ac:dyDescent="0.4">
      <c r="A1125">
        <v>1123</v>
      </c>
      <c r="B1125">
        <v>2016</v>
      </c>
      <c r="C1125" t="s">
        <v>2755</v>
      </c>
      <c r="D1125" t="str">
        <f>HYPERLINK("https://ota.tournamentsoftware.com/player-profile/77F19A45-EF05-4CCE-896B-44A6BEF594C7", "Link")</f>
        <v>Link</v>
      </c>
      <c r="E1125" s="2">
        <v>10.8</v>
      </c>
      <c r="F1125" s="3">
        <v>2</v>
      </c>
      <c r="G1125" t="s">
        <v>29</v>
      </c>
      <c r="H1125" t="s">
        <v>16</v>
      </c>
      <c r="I1125">
        <v>39.6</v>
      </c>
      <c r="J1125" s="3">
        <v>73</v>
      </c>
      <c r="K1125" t="s">
        <v>2756</v>
      </c>
      <c r="L1125" t="s">
        <v>1865</v>
      </c>
      <c r="M1125" s="4">
        <v>0.1</v>
      </c>
      <c r="N1125" s="4">
        <v>0.19</v>
      </c>
    </row>
    <row r="1126" spans="1:14" x14ac:dyDescent="0.4">
      <c r="A1126">
        <v>1123</v>
      </c>
      <c r="B1126">
        <v>2012</v>
      </c>
      <c r="C1126" t="s">
        <v>2757</v>
      </c>
      <c r="D1126" t="str">
        <f>HYPERLINK("https://ota.tournamentsoftware.com/player-profile/C6ED9D5C-83AD-4AC9-9DCE-1D21A2304573", "Link")</f>
        <v>Link</v>
      </c>
      <c r="E1126" s="2">
        <v>10.8</v>
      </c>
      <c r="F1126" s="3">
        <v>1</v>
      </c>
      <c r="G1126" t="s">
        <v>20</v>
      </c>
      <c r="H1126" t="s">
        <v>16</v>
      </c>
      <c r="I1126" t="s">
        <v>48</v>
      </c>
      <c r="J1126" s="3">
        <v>12</v>
      </c>
      <c r="K1126" t="s">
        <v>1716</v>
      </c>
      <c r="L1126" t="s">
        <v>523</v>
      </c>
      <c r="M1126" s="4">
        <v>0.17</v>
      </c>
      <c r="N1126" s="4">
        <v>0.5</v>
      </c>
    </row>
    <row r="1127" spans="1:14" x14ac:dyDescent="0.4">
      <c r="A1127">
        <v>1123</v>
      </c>
      <c r="B1127">
        <v>2015</v>
      </c>
      <c r="C1127" t="s">
        <v>2758</v>
      </c>
      <c r="D1127" t="str">
        <f>HYPERLINK("https://ota.tournamentsoftware.com/player-profile/4DB13A7D-F9F2-45DD-AAD4-FA9987D24AC9", "Link")</f>
        <v>Link</v>
      </c>
      <c r="E1127" s="2">
        <v>10.8</v>
      </c>
      <c r="F1127" s="3">
        <v>1</v>
      </c>
      <c r="G1127" t="s">
        <v>29</v>
      </c>
      <c r="H1127" t="s">
        <v>199</v>
      </c>
      <c r="I1127" t="s">
        <v>48</v>
      </c>
      <c r="J1127" s="3">
        <v>20</v>
      </c>
      <c r="K1127" t="s">
        <v>2313</v>
      </c>
      <c r="L1127" t="s">
        <v>1407</v>
      </c>
      <c r="M1127" s="4">
        <v>0.6</v>
      </c>
      <c r="N1127" s="4">
        <v>0.5</v>
      </c>
    </row>
    <row r="1128" spans="1:14" x14ac:dyDescent="0.4">
      <c r="A1128">
        <v>1123</v>
      </c>
      <c r="B1128">
        <v>2016</v>
      </c>
      <c r="C1128" t="s">
        <v>2759</v>
      </c>
      <c r="D1128" t="str">
        <f>HYPERLINK("https://ota.tournamentsoftware.com/player-profile/6FA68B83-6E0E-4A78-81A0-6004576A8E6E", "Link")</f>
        <v>Link</v>
      </c>
      <c r="E1128" s="2">
        <v>10.8</v>
      </c>
      <c r="F1128" s="3">
        <v>3</v>
      </c>
      <c r="G1128" t="s">
        <v>29</v>
      </c>
      <c r="H1128" t="s">
        <v>103</v>
      </c>
      <c r="I1128" t="s">
        <v>48</v>
      </c>
      <c r="J1128" s="3">
        <v>50</v>
      </c>
      <c r="K1128" t="s">
        <v>1295</v>
      </c>
      <c r="L1128" t="s">
        <v>1616</v>
      </c>
      <c r="M1128" s="4">
        <v>0.6</v>
      </c>
      <c r="N1128" s="4">
        <v>0.71</v>
      </c>
    </row>
    <row r="1129" spans="1:14" x14ac:dyDescent="0.4">
      <c r="A1129">
        <v>1123</v>
      </c>
      <c r="B1129">
        <v>2015</v>
      </c>
      <c r="C1129" t="s">
        <v>2760</v>
      </c>
      <c r="D1129" t="str">
        <f>HYPERLINK("https://ota.tournamentsoftware.com/player-profile/4BFD1C94-F572-47D9-8892-3117B37D58A1", "Link")</f>
        <v>Link</v>
      </c>
      <c r="E1129" s="2">
        <v>10.8</v>
      </c>
      <c r="F1129" s="3">
        <v>1</v>
      </c>
      <c r="G1129" t="s">
        <v>29</v>
      </c>
      <c r="H1129" t="s">
        <v>103</v>
      </c>
      <c r="I1129">
        <v>38.1</v>
      </c>
      <c r="J1129" s="3">
        <v>2</v>
      </c>
      <c r="K1129" t="s">
        <v>523</v>
      </c>
      <c r="L1129" t="s">
        <v>523</v>
      </c>
      <c r="M1129" s="4">
        <v>0.5</v>
      </c>
      <c r="N1129" s="4">
        <v>0.5</v>
      </c>
    </row>
    <row r="1130" spans="1:14" x14ac:dyDescent="0.4">
      <c r="A1130">
        <v>1129</v>
      </c>
      <c r="B1130">
        <v>2012</v>
      </c>
      <c r="C1130" t="s">
        <v>2761</v>
      </c>
      <c r="D1130" t="str">
        <f>HYPERLINK("https://ota.tournamentsoftware.com/player-profile/95371403-EC89-475C-B20A-60F935026FFA", "Link")</f>
        <v>Link</v>
      </c>
      <c r="E1130" s="2">
        <v>10.627000000000001</v>
      </c>
      <c r="F1130" s="3">
        <v>4</v>
      </c>
      <c r="G1130" t="s">
        <v>109</v>
      </c>
      <c r="H1130" t="s">
        <v>281</v>
      </c>
      <c r="I1130" t="s">
        <v>48</v>
      </c>
      <c r="J1130" s="3">
        <v>41</v>
      </c>
      <c r="K1130" t="s">
        <v>2762</v>
      </c>
      <c r="L1130" t="s">
        <v>2237</v>
      </c>
      <c r="M1130" s="4">
        <v>0.49</v>
      </c>
      <c r="N1130" s="4">
        <v>0.75</v>
      </c>
    </row>
    <row r="1131" spans="1:14" x14ac:dyDescent="0.4">
      <c r="A1131">
        <v>1130</v>
      </c>
      <c r="B1131">
        <v>2014</v>
      </c>
      <c r="C1131" t="s">
        <v>2763</v>
      </c>
      <c r="D1131" t="str">
        <f>HYPERLINK("https://ota.tournamentsoftware.com/player-profile/B7A28D92-CC5D-460E-A752-75C63DAB2E9F", "Link")</f>
        <v>Link</v>
      </c>
      <c r="E1131" s="2">
        <v>10.44</v>
      </c>
      <c r="F1131" s="3">
        <v>7</v>
      </c>
      <c r="G1131" t="s">
        <v>109</v>
      </c>
      <c r="H1131" t="s">
        <v>1714</v>
      </c>
      <c r="I1131">
        <v>37.1</v>
      </c>
      <c r="J1131" s="3">
        <v>19</v>
      </c>
      <c r="K1131" t="s">
        <v>2160</v>
      </c>
      <c r="L1131" t="s">
        <v>2160</v>
      </c>
      <c r="M1131" s="4">
        <v>0.47</v>
      </c>
      <c r="N1131" s="4">
        <v>0.47</v>
      </c>
    </row>
    <row r="1132" spans="1:14" x14ac:dyDescent="0.4">
      <c r="A1132">
        <v>1131</v>
      </c>
      <c r="B1132">
        <v>2015</v>
      </c>
      <c r="C1132" t="s">
        <v>2764</v>
      </c>
      <c r="D1132" t="str">
        <f>HYPERLINK("https://ota.tournamentsoftware.com/player-profile/7C80CDC4-31A2-4667-A2A3-AE7AD2699300", "Link")</f>
        <v>Link</v>
      </c>
      <c r="E1132" s="2">
        <v>10.368</v>
      </c>
      <c r="F1132" s="3">
        <v>2</v>
      </c>
      <c r="G1132" t="s">
        <v>29</v>
      </c>
      <c r="H1132" t="s">
        <v>686</v>
      </c>
      <c r="I1132">
        <v>36.4</v>
      </c>
      <c r="J1132" s="3">
        <v>13</v>
      </c>
      <c r="K1132" t="s">
        <v>592</v>
      </c>
      <c r="L1132" t="s">
        <v>1267</v>
      </c>
      <c r="M1132" s="4">
        <v>0.54</v>
      </c>
      <c r="N1132" s="4">
        <v>0.25</v>
      </c>
    </row>
    <row r="1133" spans="1:14" x14ac:dyDescent="0.4">
      <c r="A1133">
        <v>1131</v>
      </c>
      <c r="B1133">
        <v>2016</v>
      </c>
      <c r="C1133" t="s">
        <v>2765</v>
      </c>
      <c r="D1133" t="str">
        <f>HYPERLINK("https://ota.tournamentsoftware.com/player-profile/005FD3B5-057F-4BFE-B6D1-1D3CC87FBA27", "Link")</f>
        <v>Link</v>
      </c>
      <c r="E1133" s="2">
        <v>10.368</v>
      </c>
      <c r="F1133" s="3">
        <v>1</v>
      </c>
      <c r="G1133" t="s">
        <v>25</v>
      </c>
      <c r="H1133" t="s">
        <v>2766</v>
      </c>
      <c r="I1133" t="s">
        <v>48</v>
      </c>
      <c r="J1133" s="3">
        <v>31</v>
      </c>
      <c r="K1133" t="s">
        <v>1005</v>
      </c>
      <c r="L1133" t="s">
        <v>83</v>
      </c>
      <c r="M1133" s="4">
        <v>0.45</v>
      </c>
      <c r="N1133" s="4">
        <v>0.53</v>
      </c>
    </row>
    <row r="1134" spans="1:14" x14ac:dyDescent="0.4">
      <c r="A1134">
        <v>1131</v>
      </c>
      <c r="B1134">
        <v>2015</v>
      </c>
      <c r="C1134" t="s">
        <v>2767</v>
      </c>
      <c r="D1134" t="str">
        <f>HYPERLINK("https://ota.tournamentsoftware.com/player-profile/7931DDBA-D7CA-40E8-97CF-DF1CA8113B24", "Link")</f>
        <v>Link</v>
      </c>
      <c r="E1134" s="2">
        <v>10.368</v>
      </c>
      <c r="F1134" s="3">
        <v>1</v>
      </c>
      <c r="G1134" t="s">
        <v>25</v>
      </c>
      <c r="H1134" t="s">
        <v>2768</v>
      </c>
      <c r="I1134" t="s">
        <v>48</v>
      </c>
      <c r="J1134" s="3">
        <v>13</v>
      </c>
      <c r="K1134" t="s">
        <v>902</v>
      </c>
      <c r="L1134" t="s">
        <v>433</v>
      </c>
      <c r="M1134" s="4">
        <v>0.46</v>
      </c>
      <c r="N1134" s="4">
        <v>0</v>
      </c>
    </row>
    <row r="1135" spans="1:14" x14ac:dyDescent="0.4">
      <c r="A1135">
        <v>1134</v>
      </c>
      <c r="B1135">
        <v>2014</v>
      </c>
      <c r="C1135" t="s">
        <v>2769</v>
      </c>
      <c r="D1135" t="str">
        <f>HYPERLINK("https://ota.tournamentsoftware.com/player-profile/14AB607F-E600-4113-85A8-3FA78DC9A248", "Link")</f>
        <v>Link</v>
      </c>
      <c r="E1135" s="2">
        <v>10.148999999999999</v>
      </c>
      <c r="F1135" s="3">
        <v>3</v>
      </c>
      <c r="G1135" t="s">
        <v>25</v>
      </c>
      <c r="H1135" t="s">
        <v>2770</v>
      </c>
      <c r="I1135">
        <v>39.6</v>
      </c>
      <c r="J1135" s="3">
        <v>8</v>
      </c>
      <c r="K1135" t="s">
        <v>1324</v>
      </c>
      <c r="L1135" t="s">
        <v>1721</v>
      </c>
      <c r="M1135" s="4">
        <v>0.12</v>
      </c>
      <c r="N1135" s="4">
        <v>0</v>
      </c>
    </row>
    <row r="1136" spans="1:14" x14ac:dyDescent="0.4">
      <c r="A1136">
        <v>1135</v>
      </c>
      <c r="B1136">
        <v>2015</v>
      </c>
      <c r="C1136" t="s">
        <v>2771</v>
      </c>
      <c r="D1136" t="str">
        <f>HYPERLINK("https://ota.tournamentsoftware.com/player-profile/1CD9DDAD-A036-4365-A97E-F88D56D4B94B", "Link")</f>
        <v>Link</v>
      </c>
      <c r="E1136" s="2">
        <v>10.146000000000001</v>
      </c>
      <c r="F1136" s="3">
        <v>2</v>
      </c>
      <c r="G1136" t="s">
        <v>29</v>
      </c>
      <c r="H1136" t="s">
        <v>519</v>
      </c>
      <c r="I1136" t="s">
        <v>48</v>
      </c>
      <c r="J1136" s="3">
        <v>6</v>
      </c>
      <c r="K1136" t="s">
        <v>1625</v>
      </c>
      <c r="L1136" t="s">
        <v>1625</v>
      </c>
      <c r="M1136" s="4">
        <v>0.33</v>
      </c>
      <c r="N1136" s="4">
        <v>0.33</v>
      </c>
    </row>
    <row r="1137" spans="1:14" x14ac:dyDescent="0.4">
      <c r="A1137">
        <v>1136</v>
      </c>
      <c r="B1137">
        <v>2015</v>
      </c>
      <c r="C1137" t="s">
        <v>2772</v>
      </c>
      <c r="D1137" t="str">
        <f>HYPERLINK("https://ota.tournamentsoftware.com/player-profile/586CE1E5-E974-4A42-B919-DE1FC94F6144", "Link")</f>
        <v>Link</v>
      </c>
      <c r="E1137" s="2">
        <v>10.137</v>
      </c>
      <c r="F1137" s="3">
        <v>3</v>
      </c>
      <c r="G1137" t="s">
        <v>109</v>
      </c>
      <c r="H1137" t="s">
        <v>387</v>
      </c>
      <c r="I1137">
        <v>40</v>
      </c>
      <c r="J1137" s="3">
        <v>25</v>
      </c>
      <c r="K1137" t="s">
        <v>2773</v>
      </c>
      <c r="L1137" t="s">
        <v>879</v>
      </c>
      <c r="M1137" s="4">
        <v>0.04</v>
      </c>
      <c r="N1137" s="4">
        <v>0</v>
      </c>
    </row>
    <row r="1138" spans="1:14" x14ac:dyDescent="0.4">
      <c r="A1138">
        <v>1137</v>
      </c>
      <c r="B1138">
        <v>2013</v>
      </c>
      <c r="C1138" t="s">
        <v>2774</v>
      </c>
      <c r="D1138" t="str">
        <f>HYPERLINK("https://ota.tournamentsoftware.com/player-profile/42BF9410-8926-4C81-9B50-F1262CEF0360", "Link")</f>
        <v>Link</v>
      </c>
      <c r="E1138" s="2">
        <v>9.9789999999999992</v>
      </c>
      <c r="F1138" s="3">
        <v>2</v>
      </c>
      <c r="G1138" t="s">
        <v>29</v>
      </c>
      <c r="H1138" t="s">
        <v>256</v>
      </c>
      <c r="I1138" t="s">
        <v>48</v>
      </c>
      <c r="J1138" s="3">
        <v>33</v>
      </c>
      <c r="K1138" t="s">
        <v>1932</v>
      </c>
      <c r="L1138" t="s">
        <v>523</v>
      </c>
      <c r="M1138" s="4">
        <v>0.33</v>
      </c>
      <c r="N1138" s="4">
        <v>0.5</v>
      </c>
    </row>
    <row r="1139" spans="1:14" x14ac:dyDescent="0.4">
      <c r="A1139">
        <v>1138</v>
      </c>
      <c r="B1139">
        <v>2012</v>
      </c>
      <c r="C1139" t="s">
        <v>2775</v>
      </c>
      <c r="D1139" t="str">
        <f>HYPERLINK("https://ota.tournamentsoftware.com/player-profile/78AF63B4-51BB-4826-AFEB-269DB17B18ED", "Link")</f>
        <v>Link</v>
      </c>
      <c r="E1139" s="2">
        <v>9.7200000000000006</v>
      </c>
      <c r="F1139" s="3">
        <v>1</v>
      </c>
      <c r="G1139" t="s">
        <v>20</v>
      </c>
      <c r="H1139" t="s">
        <v>296</v>
      </c>
      <c r="I1139">
        <v>37.6</v>
      </c>
      <c r="J1139" s="3">
        <v>4</v>
      </c>
      <c r="K1139" t="s">
        <v>1267</v>
      </c>
      <c r="L1139" t="s">
        <v>31</v>
      </c>
      <c r="M1139" s="4">
        <v>0.25</v>
      </c>
      <c r="N1139" s="4">
        <v>0</v>
      </c>
    </row>
    <row r="1140" spans="1:14" x14ac:dyDescent="0.4">
      <c r="A1140">
        <v>1139</v>
      </c>
      <c r="B1140">
        <v>2013</v>
      </c>
      <c r="C1140" t="s">
        <v>2776</v>
      </c>
      <c r="D1140" t="str">
        <f>HYPERLINK("https://ota.tournamentsoftware.com/player-profile/34DB6E68-DC2D-46A3-9FCF-82A58A1EDBE3", "Link")</f>
        <v>Link</v>
      </c>
      <c r="E1140" s="2">
        <v>9.6120000000000001</v>
      </c>
      <c r="F1140" s="3">
        <v>2</v>
      </c>
      <c r="G1140" t="s">
        <v>25</v>
      </c>
      <c r="H1140" t="s">
        <v>16</v>
      </c>
      <c r="I1140">
        <v>37.9</v>
      </c>
      <c r="J1140" s="3">
        <v>8</v>
      </c>
      <c r="K1140" t="s">
        <v>625</v>
      </c>
      <c r="L1140" t="s">
        <v>31</v>
      </c>
      <c r="M1140" s="4">
        <v>0.5</v>
      </c>
      <c r="N1140" s="4">
        <v>0</v>
      </c>
    </row>
    <row r="1141" spans="1:14" x14ac:dyDescent="0.4">
      <c r="A1141">
        <v>1140</v>
      </c>
      <c r="B1141">
        <v>2015</v>
      </c>
      <c r="C1141" t="s">
        <v>2777</v>
      </c>
      <c r="D1141" t="str">
        <f>HYPERLINK("https://ota.tournamentsoftware.com/player-profile/264EFCE5-2D5B-4014-A1E4-CF0F958237B9", "Link")</f>
        <v>Link</v>
      </c>
      <c r="E1141" s="2">
        <v>9.5980000000000008</v>
      </c>
      <c r="F1141" s="3">
        <v>3</v>
      </c>
      <c r="G1141" t="s">
        <v>25</v>
      </c>
      <c r="H1141" t="s">
        <v>95</v>
      </c>
      <c r="I1141">
        <v>39.4</v>
      </c>
      <c r="J1141" s="3">
        <v>6</v>
      </c>
      <c r="K1141" t="s">
        <v>1189</v>
      </c>
      <c r="L1141" t="s">
        <v>1189</v>
      </c>
      <c r="M1141" s="4">
        <v>0.17</v>
      </c>
      <c r="N1141" s="4">
        <v>0.17</v>
      </c>
    </row>
    <row r="1142" spans="1:14" x14ac:dyDescent="0.4">
      <c r="A1142">
        <v>1141</v>
      </c>
      <c r="B1142">
        <v>2013</v>
      </c>
      <c r="C1142" t="s">
        <v>2778</v>
      </c>
      <c r="D1142" t="str">
        <f>HYPERLINK("https://ota.tournamentsoftware.com/player-profile/8260D181-2742-4015-AD52-73D66B6FD70A", "Link")</f>
        <v>Link</v>
      </c>
      <c r="E1142" s="2">
        <v>9.59</v>
      </c>
      <c r="F1142" s="3">
        <v>2</v>
      </c>
      <c r="G1142" t="s">
        <v>25</v>
      </c>
      <c r="H1142" t="s">
        <v>60</v>
      </c>
      <c r="I1142" t="s">
        <v>48</v>
      </c>
      <c r="J1142" s="3">
        <v>5</v>
      </c>
      <c r="K1142" t="s">
        <v>1243</v>
      </c>
      <c r="L1142" t="s">
        <v>433</v>
      </c>
      <c r="M1142" s="4">
        <v>0.4</v>
      </c>
      <c r="N1142" s="4">
        <v>0</v>
      </c>
    </row>
    <row r="1143" spans="1:14" x14ac:dyDescent="0.4">
      <c r="A1143">
        <v>1142</v>
      </c>
      <c r="B1143">
        <v>2014</v>
      </c>
      <c r="C1143" t="s">
        <v>2779</v>
      </c>
      <c r="D1143" t="str">
        <f>HYPERLINK("https://ota.tournamentsoftware.com/player-profile/3C42B108-2BA4-41D7-8AE2-19A52170601F", "Link")</f>
        <v>Link</v>
      </c>
      <c r="E1143" s="2">
        <v>9.5549999999999997</v>
      </c>
      <c r="F1143" s="3">
        <v>2</v>
      </c>
      <c r="G1143" t="s">
        <v>25</v>
      </c>
      <c r="H1143" t="s">
        <v>2780</v>
      </c>
      <c r="I1143">
        <v>35.4</v>
      </c>
      <c r="J1143" s="3">
        <v>20</v>
      </c>
      <c r="K1143" t="s">
        <v>341</v>
      </c>
      <c r="L1143" t="s">
        <v>1284</v>
      </c>
      <c r="M1143" s="4">
        <v>0.4</v>
      </c>
      <c r="N1143" s="4">
        <v>0.33</v>
      </c>
    </row>
    <row r="1144" spans="1:14" x14ac:dyDescent="0.4">
      <c r="A1144">
        <v>1143</v>
      </c>
      <c r="B1144">
        <v>2012</v>
      </c>
      <c r="C1144" t="s">
        <v>2781</v>
      </c>
      <c r="D1144" t="str">
        <f>HYPERLINK("https://ota.tournamentsoftware.com/player-profile/679317D4-2CCC-4345-A8E0-4E4AB637C148", "Link")</f>
        <v>Link</v>
      </c>
      <c r="E1144" s="2">
        <v>9.5039999999999996</v>
      </c>
      <c r="F1144" s="3">
        <v>1</v>
      </c>
      <c r="G1144" t="s">
        <v>25</v>
      </c>
      <c r="H1144" t="s">
        <v>289</v>
      </c>
      <c r="I1144" t="s">
        <v>48</v>
      </c>
      <c r="J1144" s="3">
        <v>90</v>
      </c>
      <c r="K1144" t="s">
        <v>2782</v>
      </c>
      <c r="L1144" t="s">
        <v>1284</v>
      </c>
      <c r="M1144" s="4">
        <v>0.31</v>
      </c>
      <c r="N1144" s="4">
        <v>0.33</v>
      </c>
    </row>
    <row r="1145" spans="1:14" x14ac:dyDescent="0.4">
      <c r="A1145">
        <v>1144</v>
      </c>
      <c r="B1145">
        <v>2014</v>
      </c>
      <c r="C1145" t="s">
        <v>2783</v>
      </c>
      <c r="D1145" t="str">
        <f>HYPERLINK("https://ota.tournamentsoftware.com/player-profile/A4F9AF2C-7FB4-474F-BA3A-0E1AB32672E3", "Link")</f>
        <v>Link</v>
      </c>
      <c r="E1145" s="2">
        <v>9.4149999999999991</v>
      </c>
      <c r="F1145" s="3">
        <v>3</v>
      </c>
      <c r="G1145" t="s">
        <v>29</v>
      </c>
      <c r="H1145" t="s">
        <v>2784</v>
      </c>
      <c r="I1145">
        <v>38.5</v>
      </c>
      <c r="J1145" s="3">
        <v>24</v>
      </c>
      <c r="K1145" t="s">
        <v>1347</v>
      </c>
      <c r="L1145" t="s">
        <v>1625</v>
      </c>
      <c r="M1145" s="4">
        <v>0.21</v>
      </c>
      <c r="N1145" s="4">
        <v>0.33</v>
      </c>
    </row>
    <row r="1146" spans="1:14" x14ac:dyDescent="0.4">
      <c r="A1146">
        <v>1145</v>
      </c>
      <c r="B1146">
        <v>2011</v>
      </c>
      <c r="C1146" t="s">
        <v>2785</v>
      </c>
      <c r="D1146" t="str">
        <f>HYPERLINK("https://ota.tournamentsoftware.com/player-profile/112897E3-59A5-4E04-A6B1-0969A97C04B6", "Link")</f>
        <v>Link</v>
      </c>
      <c r="E1146" s="2">
        <v>9.2949999999999999</v>
      </c>
      <c r="F1146" s="3">
        <v>1</v>
      </c>
      <c r="G1146" t="s">
        <v>20</v>
      </c>
      <c r="H1146" t="s">
        <v>1822</v>
      </c>
      <c r="I1146">
        <v>35.799999999999997</v>
      </c>
      <c r="J1146" s="3">
        <v>3</v>
      </c>
      <c r="K1146" t="s">
        <v>1978</v>
      </c>
      <c r="L1146" t="s">
        <v>31</v>
      </c>
      <c r="M1146" s="4">
        <v>0.67</v>
      </c>
      <c r="N1146" s="4">
        <v>0</v>
      </c>
    </row>
    <row r="1147" spans="1:14" x14ac:dyDescent="0.4">
      <c r="A1147">
        <v>1146</v>
      </c>
      <c r="B1147">
        <v>2013</v>
      </c>
      <c r="C1147" t="s">
        <v>2786</v>
      </c>
      <c r="D1147" t="str">
        <f>HYPERLINK("https://ota.tournamentsoftware.com/player-profile/D930EA05-6917-4BB8-9AD8-DE7F29C99324", "Link")</f>
        <v>Link</v>
      </c>
      <c r="E1147" s="2">
        <v>8.9380000000000006</v>
      </c>
      <c r="F1147" s="3">
        <v>3</v>
      </c>
      <c r="G1147" t="s">
        <v>109</v>
      </c>
      <c r="H1147" t="s">
        <v>2681</v>
      </c>
      <c r="I1147" t="s">
        <v>48</v>
      </c>
      <c r="J1147" s="3">
        <v>44</v>
      </c>
      <c r="K1147" t="s">
        <v>2787</v>
      </c>
      <c r="L1147" t="s">
        <v>1524</v>
      </c>
      <c r="M1147" s="4">
        <v>0.05</v>
      </c>
      <c r="N1147" s="4">
        <v>0</v>
      </c>
    </row>
    <row r="1148" spans="1:14" x14ac:dyDescent="0.4">
      <c r="A1148">
        <v>1147</v>
      </c>
      <c r="B1148">
        <v>2014</v>
      </c>
      <c r="C1148" t="s">
        <v>2788</v>
      </c>
      <c r="D1148" t="str">
        <f>HYPERLINK("https://ota.tournamentsoftware.com/player-profile/3F621439-578C-4BDD-A8A2-880ECC795615", "Link")</f>
        <v>Link</v>
      </c>
      <c r="E1148" s="2">
        <v>8.8879999999999999</v>
      </c>
      <c r="F1148" s="3">
        <v>2</v>
      </c>
      <c r="G1148" t="s">
        <v>29</v>
      </c>
      <c r="H1148" t="s">
        <v>937</v>
      </c>
      <c r="I1148">
        <v>36.6</v>
      </c>
      <c r="J1148" s="3">
        <v>8</v>
      </c>
      <c r="K1148" t="s">
        <v>1324</v>
      </c>
      <c r="L1148" t="s">
        <v>1524</v>
      </c>
      <c r="M1148" s="4">
        <v>0.12</v>
      </c>
      <c r="N1148" s="4">
        <v>0</v>
      </c>
    </row>
    <row r="1149" spans="1:14" x14ac:dyDescent="0.4">
      <c r="A1149">
        <v>1148</v>
      </c>
      <c r="B1149">
        <v>2014</v>
      </c>
      <c r="C1149" t="s">
        <v>2789</v>
      </c>
      <c r="D1149" t="str">
        <f>HYPERLINK("https://ota.tournamentsoftware.com/player-profile/F9367D16-E3B7-41BB-810F-85E4C6371542", "Link")</f>
        <v>Link</v>
      </c>
      <c r="E1149" s="2">
        <v>8.8829999999999991</v>
      </c>
      <c r="F1149" s="3">
        <v>3</v>
      </c>
      <c r="G1149" t="s">
        <v>20</v>
      </c>
      <c r="H1149" t="s">
        <v>43</v>
      </c>
      <c r="I1149">
        <v>39</v>
      </c>
      <c r="J1149" s="3">
        <v>61</v>
      </c>
      <c r="K1149" t="s">
        <v>1099</v>
      </c>
      <c r="L1149" t="s">
        <v>2790</v>
      </c>
      <c r="M1149" s="4">
        <v>0.49</v>
      </c>
      <c r="N1149" s="4">
        <v>0.56000000000000005</v>
      </c>
    </row>
    <row r="1150" spans="1:14" x14ac:dyDescent="0.4">
      <c r="A1150">
        <v>1149</v>
      </c>
      <c r="B1150">
        <v>2014</v>
      </c>
      <c r="C1150" t="s">
        <v>2791</v>
      </c>
      <c r="D1150" t="str">
        <f>HYPERLINK("https://ota.tournamentsoftware.com/player-profile/EE4C1547-2DEF-4E96-BA65-F8069863F09D", "Link")</f>
        <v>Link</v>
      </c>
      <c r="E1150" s="2">
        <v>8.8610000000000007</v>
      </c>
      <c r="F1150" s="3">
        <v>7</v>
      </c>
      <c r="G1150" t="s">
        <v>109</v>
      </c>
      <c r="H1150" t="s">
        <v>110</v>
      </c>
      <c r="I1150" t="s">
        <v>48</v>
      </c>
      <c r="J1150" s="3">
        <v>33</v>
      </c>
      <c r="K1150" t="s">
        <v>2017</v>
      </c>
      <c r="L1150" t="s">
        <v>1854</v>
      </c>
      <c r="M1150" s="4">
        <v>0.18</v>
      </c>
      <c r="N1150" s="4">
        <v>0.2</v>
      </c>
    </row>
    <row r="1151" spans="1:14" x14ac:dyDescent="0.4">
      <c r="A1151">
        <v>1150</v>
      </c>
      <c r="B1151">
        <v>2013</v>
      </c>
      <c r="C1151" t="s">
        <v>2792</v>
      </c>
      <c r="D1151" t="str">
        <f>HYPERLINK("https://ota.tournamentsoftware.com/player-profile/8F1CA811-953C-4FAC-980B-55D7FE7A6E50", "Link")</f>
        <v>Link</v>
      </c>
      <c r="E1151" s="2">
        <v>8.8130000000000006</v>
      </c>
      <c r="F1151" s="3">
        <v>2</v>
      </c>
      <c r="G1151" t="s">
        <v>25</v>
      </c>
      <c r="H1151" t="s">
        <v>2793</v>
      </c>
      <c r="I1151" t="s">
        <v>48</v>
      </c>
      <c r="J1151" s="3">
        <v>10</v>
      </c>
      <c r="K1151" t="s">
        <v>932</v>
      </c>
      <c r="L1151" t="s">
        <v>31</v>
      </c>
      <c r="M1151" s="4">
        <v>0.3</v>
      </c>
      <c r="N1151" s="4">
        <v>0</v>
      </c>
    </row>
    <row r="1152" spans="1:14" x14ac:dyDescent="0.4">
      <c r="A1152">
        <v>1151</v>
      </c>
      <c r="B1152">
        <v>2015</v>
      </c>
      <c r="C1152" t="s">
        <v>2794</v>
      </c>
      <c r="D1152" t="str">
        <f>HYPERLINK("https://ota.tournamentsoftware.com/player-profile/B0709DF4-F657-4BE5-870B-1467DB919D18", "Link")</f>
        <v>Link</v>
      </c>
      <c r="E1152" s="2">
        <v>8.7449999999999992</v>
      </c>
      <c r="F1152" s="3">
        <v>3</v>
      </c>
      <c r="G1152" t="s">
        <v>20</v>
      </c>
      <c r="H1152" t="s">
        <v>919</v>
      </c>
      <c r="I1152">
        <v>40</v>
      </c>
      <c r="J1152" s="3">
        <v>38</v>
      </c>
      <c r="K1152" t="s">
        <v>2795</v>
      </c>
      <c r="L1152" t="s">
        <v>1275</v>
      </c>
      <c r="M1152" s="4">
        <v>0.34</v>
      </c>
      <c r="N1152" s="4">
        <v>0.31</v>
      </c>
    </row>
    <row r="1153" spans="1:14" x14ac:dyDescent="0.4">
      <c r="A1153">
        <v>1152</v>
      </c>
      <c r="B1153">
        <v>2015</v>
      </c>
      <c r="C1153" t="s">
        <v>2796</v>
      </c>
      <c r="D1153" t="str">
        <f>HYPERLINK("https://ota.tournamentsoftware.com/player-profile/401ED85D-9EDD-4DED-B064-33902C7F4DF4", "Link")</f>
        <v>Link</v>
      </c>
      <c r="E1153" s="2">
        <v>8.6940000000000008</v>
      </c>
      <c r="F1153" s="3">
        <v>2</v>
      </c>
      <c r="G1153" t="s">
        <v>29</v>
      </c>
      <c r="H1153" t="s">
        <v>1607</v>
      </c>
      <c r="I1153">
        <v>37.700000000000003</v>
      </c>
      <c r="J1153" s="3">
        <v>24</v>
      </c>
      <c r="K1153" t="s">
        <v>1735</v>
      </c>
      <c r="L1153" t="s">
        <v>2588</v>
      </c>
      <c r="M1153" s="4">
        <v>0.46</v>
      </c>
      <c r="N1153" s="4">
        <v>0.71</v>
      </c>
    </row>
    <row r="1154" spans="1:14" x14ac:dyDescent="0.4">
      <c r="A1154">
        <v>1153</v>
      </c>
      <c r="B1154">
        <v>2015</v>
      </c>
      <c r="C1154" t="s">
        <v>2797</v>
      </c>
      <c r="D1154" t="str">
        <f>HYPERLINK("https://ota.tournamentsoftware.com/player-profile/E3B2C995-F41E-4C95-81DE-7B219EF03CBD", "Link")</f>
        <v>Link</v>
      </c>
      <c r="E1154" s="2">
        <v>8.64</v>
      </c>
      <c r="F1154" s="3">
        <v>4</v>
      </c>
      <c r="G1154" t="s">
        <v>20</v>
      </c>
      <c r="H1154" t="s">
        <v>2744</v>
      </c>
      <c r="I1154">
        <v>38.5</v>
      </c>
      <c r="J1154" s="3">
        <v>25</v>
      </c>
      <c r="K1154" t="s">
        <v>2008</v>
      </c>
      <c r="L1154" t="s">
        <v>68</v>
      </c>
      <c r="M1154" s="4">
        <v>0.4</v>
      </c>
      <c r="N1154" s="4">
        <v>0.57999999999999996</v>
      </c>
    </row>
    <row r="1155" spans="1:14" x14ac:dyDescent="0.4">
      <c r="A1155">
        <v>1153</v>
      </c>
      <c r="B1155">
        <v>2014</v>
      </c>
      <c r="C1155" t="s">
        <v>2798</v>
      </c>
      <c r="D1155" t="str">
        <f>HYPERLINK("https://ota.tournamentsoftware.com/player-profile/389A79F0-4AEE-4BAD-A33E-98A21CD35738", "Link")</f>
        <v>Link</v>
      </c>
      <c r="E1155" s="2">
        <v>8.64</v>
      </c>
      <c r="F1155" s="3">
        <v>2</v>
      </c>
      <c r="G1155" t="s">
        <v>20</v>
      </c>
      <c r="H1155" t="s">
        <v>2799</v>
      </c>
      <c r="I1155" t="s">
        <v>48</v>
      </c>
      <c r="J1155" s="3">
        <v>30</v>
      </c>
      <c r="K1155" t="s">
        <v>2800</v>
      </c>
      <c r="L1155" t="s">
        <v>1240</v>
      </c>
      <c r="M1155" s="4">
        <v>0.37</v>
      </c>
      <c r="N1155" s="4">
        <v>0.5</v>
      </c>
    </row>
    <row r="1156" spans="1:14" x14ac:dyDescent="0.4">
      <c r="A1156">
        <v>1155</v>
      </c>
      <c r="B1156">
        <v>2013</v>
      </c>
      <c r="C1156" t="s">
        <v>2801</v>
      </c>
      <c r="D1156" t="str">
        <f>HYPERLINK("https://ota.tournamentsoftware.com/player-profile/FCE45E04-6DF1-4A68-89D1-ACB65286BF31", "Link")</f>
        <v>Link</v>
      </c>
      <c r="E1156" s="2">
        <v>8.4499999999999993</v>
      </c>
      <c r="F1156" s="3">
        <v>5</v>
      </c>
      <c r="G1156" t="s">
        <v>109</v>
      </c>
      <c r="H1156" t="s">
        <v>110</v>
      </c>
      <c r="I1156">
        <v>38.1</v>
      </c>
      <c r="J1156" s="3">
        <v>17</v>
      </c>
      <c r="K1156" t="s">
        <v>1772</v>
      </c>
      <c r="L1156" t="s">
        <v>1978</v>
      </c>
      <c r="M1156" s="4">
        <v>0.41</v>
      </c>
      <c r="N1156" s="4">
        <v>0.67</v>
      </c>
    </row>
    <row r="1157" spans="1:14" x14ac:dyDescent="0.4">
      <c r="A1157">
        <v>1156</v>
      </c>
      <c r="B1157">
        <v>2011</v>
      </c>
      <c r="C1157" t="s">
        <v>2802</v>
      </c>
      <c r="D1157" t="str">
        <f>HYPERLINK("https://ota.tournamentsoftware.com/player-profile/ECC17B25-1C40-446B-9448-DC491613A66B", "Link")</f>
        <v>Link</v>
      </c>
      <c r="E1157" s="2">
        <v>8.4290000000000003</v>
      </c>
      <c r="F1157" s="3">
        <v>1</v>
      </c>
      <c r="G1157" t="s">
        <v>25</v>
      </c>
      <c r="H1157" t="s">
        <v>477</v>
      </c>
      <c r="I1157">
        <v>37.1</v>
      </c>
      <c r="J1157" s="3">
        <v>2</v>
      </c>
      <c r="K1157" t="s">
        <v>1524</v>
      </c>
      <c r="L1157" t="s">
        <v>31</v>
      </c>
      <c r="M1157" s="4">
        <v>0</v>
      </c>
      <c r="N1157" s="4">
        <v>0</v>
      </c>
    </row>
    <row r="1158" spans="1:14" x14ac:dyDescent="0.4">
      <c r="A1158">
        <v>1157</v>
      </c>
      <c r="B1158">
        <v>2012</v>
      </c>
      <c r="C1158" t="s">
        <v>2803</v>
      </c>
      <c r="D1158" t="str">
        <f>HYPERLINK("https://ota.tournamentsoftware.com/player-profile/0D8F1552-F5AE-4BBB-B462-7DFD495EA5D1", "Link")</f>
        <v>Link</v>
      </c>
      <c r="E1158" s="2">
        <v>8.4239999999999995</v>
      </c>
      <c r="F1158" s="3">
        <v>1</v>
      </c>
      <c r="G1158" t="s">
        <v>20</v>
      </c>
      <c r="H1158" t="s">
        <v>2344</v>
      </c>
      <c r="I1158">
        <v>37.799999999999997</v>
      </c>
      <c r="J1158" s="3">
        <v>49</v>
      </c>
      <c r="K1158" t="s">
        <v>2804</v>
      </c>
      <c r="L1158" t="s">
        <v>2213</v>
      </c>
      <c r="M1158" s="4">
        <v>0.41</v>
      </c>
      <c r="N1158" s="4">
        <v>0.45</v>
      </c>
    </row>
    <row r="1159" spans="1:14" x14ac:dyDescent="0.4">
      <c r="A1159">
        <v>1157</v>
      </c>
      <c r="B1159">
        <v>2013</v>
      </c>
      <c r="C1159" t="s">
        <v>2805</v>
      </c>
      <c r="D1159" t="str">
        <f>HYPERLINK("https://ota.tournamentsoftware.com/player-profile/A76E75A0-5CAF-4017-8B3C-2D69366CF0FB", "Link")</f>
        <v>Link</v>
      </c>
      <c r="E1159" s="2">
        <v>8.4239999999999995</v>
      </c>
      <c r="F1159" s="3">
        <v>1</v>
      </c>
      <c r="G1159" t="s">
        <v>20</v>
      </c>
      <c r="H1159" t="s">
        <v>2806</v>
      </c>
      <c r="I1159">
        <v>40</v>
      </c>
      <c r="J1159" s="3">
        <v>10</v>
      </c>
      <c r="K1159" t="s">
        <v>1775</v>
      </c>
      <c r="L1159" t="s">
        <v>1243</v>
      </c>
      <c r="M1159" s="4">
        <v>0.5</v>
      </c>
      <c r="N1159" s="4">
        <v>0.4</v>
      </c>
    </row>
    <row r="1160" spans="1:14" x14ac:dyDescent="0.4">
      <c r="A1160">
        <v>1159</v>
      </c>
      <c r="B1160">
        <v>2016</v>
      </c>
      <c r="C1160" t="s">
        <v>2807</v>
      </c>
      <c r="D1160" t="str">
        <f>HYPERLINK("https://ota.tournamentsoftware.com/player-profile/7D796AB4-F8DD-43AD-8451-41C0A3E3949A", "Link")</f>
        <v>Link</v>
      </c>
      <c r="E1160" s="2">
        <v>8.3710000000000004</v>
      </c>
      <c r="F1160" s="3">
        <v>8</v>
      </c>
      <c r="G1160" t="s">
        <v>20</v>
      </c>
      <c r="H1160" t="s">
        <v>43</v>
      </c>
      <c r="I1160">
        <v>37.700000000000003</v>
      </c>
      <c r="J1160" s="3">
        <v>124</v>
      </c>
      <c r="K1160" t="s">
        <v>2808</v>
      </c>
      <c r="L1160" t="s">
        <v>2318</v>
      </c>
      <c r="M1160" s="4">
        <v>0.5</v>
      </c>
      <c r="N1160" s="4">
        <v>0.56000000000000005</v>
      </c>
    </row>
    <row r="1161" spans="1:14" x14ac:dyDescent="0.4">
      <c r="A1161">
        <v>1160</v>
      </c>
      <c r="B1161">
        <v>2015</v>
      </c>
      <c r="C1161" t="s">
        <v>2809</v>
      </c>
      <c r="D1161" t="str">
        <f>HYPERLINK("https://ota.tournamentsoftware.com/player-profile/4F9CCD8C-A7BD-4FA0-B17A-3689BD230A0C", "Link")</f>
        <v>Link</v>
      </c>
      <c r="E1161" s="2">
        <v>8.298</v>
      </c>
      <c r="F1161" s="3">
        <v>2</v>
      </c>
      <c r="G1161" t="s">
        <v>25</v>
      </c>
      <c r="H1161" t="s">
        <v>156</v>
      </c>
      <c r="I1161">
        <v>37.299999999999997</v>
      </c>
      <c r="J1161" s="3">
        <v>10</v>
      </c>
      <c r="K1161" t="s">
        <v>1775</v>
      </c>
      <c r="L1161" t="s">
        <v>2588</v>
      </c>
      <c r="M1161" s="4">
        <v>0.5</v>
      </c>
      <c r="N1161" s="4">
        <v>0.71</v>
      </c>
    </row>
    <row r="1162" spans="1:14" x14ac:dyDescent="0.4">
      <c r="A1162">
        <v>1161</v>
      </c>
      <c r="B1162">
        <v>2016</v>
      </c>
      <c r="C1162" t="s">
        <v>2810</v>
      </c>
      <c r="D1162" t="str">
        <f>HYPERLINK("https://ota.tournamentsoftware.com/player-profile/CDBDFDF5-0DDE-4F1C-B33B-F163CF134B52", "Link")</f>
        <v>Link</v>
      </c>
      <c r="E1162" s="2">
        <v>8.1050000000000004</v>
      </c>
      <c r="F1162" s="3">
        <v>5</v>
      </c>
      <c r="G1162" t="s">
        <v>29</v>
      </c>
      <c r="H1162" t="s">
        <v>163</v>
      </c>
      <c r="I1162">
        <v>38.5</v>
      </c>
      <c r="J1162" s="3">
        <v>137</v>
      </c>
      <c r="K1162" t="s">
        <v>2811</v>
      </c>
      <c r="L1162" t="s">
        <v>2006</v>
      </c>
      <c r="M1162" s="4">
        <v>0.38</v>
      </c>
      <c r="N1162" s="4">
        <v>0.46</v>
      </c>
    </row>
    <row r="1163" spans="1:14" x14ac:dyDescent="0.4">
      <c r="A1163">
        <v>1162</v>
      </c>
      <c r="B1163">
        <v>2015</v>
      </c>
      <c r="C1163" t="s">
        <v>2812</v>
      </c>
      <c r="D1163" t="str">
        <f>HYPERLINK("https://ota.tournamentsoftware.com/player-profile/103C1284-54D3-4E14-8B3B-D860AD353A8C", "Link")</f>
        <v>Link</v>
      </c>
      <c r="E1163" s="2">
        <v>8.0459999999999994</v>
      </c>
      <c r="F1163" s="3">
        <v>3</v>
      </c>
      <c r="G1163" t="s">
        <v>20</v>
      </c>
      <c r="H1163" t="s">
        <v>43</v>
      </c>
      <c r="I1163">
        <v>37.200000000000003</v>
      </c>
      <c r="J1163" s="3">
        <v>88</v>
      </c>
      <c r="K1163" t="s">
        <v>2813</v>
      </c>
      <c r="L1163" t="s">
        <v>872</v>
      </c>
      <c r="M1163" s="4">
        <v>0.4</v>
      </c>
      <c r="N1163" s="4">
        <v>0.28999999999999998</v>
      </c>
    </row>
    <row r="1164" spans="1:14" x14ac:dyDescent="0.4">
      <c r="A1164">
        <v>1163</v>
      </c>
      <c r="B1164">
        <v>2015</v>
      </c>
      <c r="C1164" t="s">
        <v>2814</v>
      </c>
      <c r="D1164" t="str">
        <f>HYPERLINK("https://ota.tournamentsoftware.com/player-profile/E3FBD49F-6297-464B-AD97-8C82D2E93FB7", "Link")</f>
        <v>Link</v>
      </c>
      <c r="E1164" s="2">
        <v>8.01</v>
      </c>
      <c r="F1164" s="3">
        <v>1</v>
      </c>
      <c r="G1164" t="s">
        <v>29</v>
      </c>
      <c r="H1164" t="s">
        <v>199</v>
      </c>
      <c r="I1164" t="s">
        <v>48</v>
      </c>
      <c r="J1164" s="3">
        <v>33</v>
      </c>
      <c r="K1164" t="s">
        <v>1316</v>
      </c>
      <c r="L1164" t="s">
        <v>932</v>
      </c>
      <c r="M1164" s="4">
        <v>0.36</v>
      </c>
      <c r="N1164" s="4">
        <v>0.3</v>
      </c>
    </row>
    <row r="1165" spans="1:14" x14ac:dyDescent="0.4">
      <c r="A1165">
        <v>1163</v>
      </c>
      <c r="B1165">
        <v>2011</v>
      </c>
      <c r="C1165" t="s">
        <v>2815</v>
      </c>
      <c r="D1165" t="str">
        <f>HYPERLINK("https://ota.tournamentsoftware.com/player-profile/574C1967-397C-4176-88B8-FB3E885786B0", "Link")</f>
        <v>Link</v>
      </c>
      <c r="E1165" s="2">
        <v>8.01</v>
      </c>
      <c r="F1165" s="3">
        <v>1</v>
      </c>
      <c r="G1165" t="s">
        <v>497</v>
      </c>
      <c r="H1165" t="s">
        <v>2188</v>
      </c>
      <c r="I1165">
        <v>36.9</v>
      </c>
      <c r="J1165" s="3">
        <v>25</v>
      </c>
      <c r="K1165" t="s">
        <v>514</v>
      </c>
      <c r="L1165" t="s">
        <v>1524</v>
      </c>
      <c r="M1165" s="4">
        <v>0.32</v>
      </c>
      <c r="N1165" s="4">
        <v>0</v>
      </c>
    </row>
    <row r="1166" spans="1:14" x14ac:dyDescent="0.4">
      <c r="A1166">
        <v>1163</v>
      </c>
      <c r="B1166">
        <v>2013</v>
      </c>
      <c r="C1166" t="s">
        <v>2816</v>
      </c>
      <c r="D1166" t="str">
        <f>HYPERLINK("https://ota.tournamentsoftware.com/player-profile/A4BA7F79-3B20-4355-B83D-7B81774D6C97", "Link")</f>
        <v>Link</v>
      </c>
      <c r="E1166" s="2">
        <v>8.01</v>
      </c>
      <c r="F1166" s="3">
        <v>1</v>
      </c>
      <c r="G1166" t="s">
        <v>29</v>
      </c>
      <c r="H1166" t="s">
        <v>1599</v>
      </c>
      <c r="I1166">
        <v>38.799999999999997</v>
      </c>
      <c r="J1166" s="3">
        <v>2</v>
      </c>
      <c r="K1166" t="s">
        <v>1524</v>
      </c>
      <c r="L1166" t="s">
        <v>31</v>
      </c>
      <c r="M1166" s="4">
        <v>0</v>
      </c>
      <c r="N1166" s="4">
        <v>0</v>
      </c>
    </row>
    <row r="1167" spans="1:14" x14ac:dyDescent="0.4">
      <c r="A1167">
        <v>1163</v>
      </c>
      <c r="B1167">
        <v>2014</v>
      </c>
      <c r="C1167" t="s">
        <v>2817</v>
      </c>
      <c r="D1167" t="str">
        <f>HYPERLINK("https://ota.tournamentsoftware.com/player-profile/9538BC58-3E12-400B-B7A6-AA4E495D60F5", "Link")</f>
        <v>Link</v>
      </c>
      <c r="E1167" s="2">
        <v>8.01</v>
      </c>
      <c r="F1167" s="3">
        <v>1</v>
      </c>
      <c r="G1167" t="s">
        <v>25</v>
      </c>
      <c r="H1167" t="s">
        <v>1562</v>
      </c>
      <c r="I1167" t="s">
        <v>48</v>
      </c>
      <c r="J1167" s="3">
        <v>3</v>
      </c>
      <c r="K1167" t="s">
        <v>1284</v>
      </c>
      <c r="L1167" t="s">
        <v>1284</v>
      </c>
      <c r="M1167" s="4">
        <v>0.33</v>
      </c>
      <c r="N1167" s="4">
        <v>0.33</v>
      </c>
    </row>
    <row r="1168" spans="1:14" x14ac:dyDescent="0.4">
      <c r="A1168">
        <v>1167</v>
      </c>
      <c r="B1168">
        <v>2015</v>
      </c>
      <c r="C1168" t="s">
        <v>2818</v>
      </c>
      <c r="D1168" t="str">
        <f>HYPERLINK("https://ota.tournamentsoftware.com/player-profile/E63460EF-56D0-4F3C-845C-D047E7B9C366", "Link")</f>
        <v>Link</v>
      </c>
      <c r="E1168" s="2">
        <v>7.9059999999999997</v>
      </c>
      <c r="F1168" s="3">
        <v>2</v>
      </c>
      <c r="G1168" t="s">
        <v>25</v>
      </c>
      <c r="H1168" t="s">
        <v>60</v>
      </c>
      <c r="I1168">
        <v>36.4</v>
      </c>
      <c r="J1168" s="3">
        <v>9</v>
      </c>
      <c r="K1168" t="s">
        <v>2398</v>
      </c>
      <c r="L1168" t="s">
        <v>2462</v>
      </c>
      <c r="M1168" s="4">
        <v>0.44</v>
      </c>
      <c r="N1168" s="4">
        <v>0.67</v>
      </c>
    </row>
    <row r="1169" spans="1:14" x14ac:dyDescent="0.4">
      <c r="A1169">
        <v>1168</v>
      </c>
      <c r="B1169">
        <v>2013</v>
      </c>
      <c r="C1169" t="s">
        <v>2819</v>
      </c>
      <c r="D1169" t="str">
        <f>HYPERLINK("https://ota.tournamentsoftware.com/player-profile/383B0843-9E5F-4A01-8304-C01EA147B7A2", "Link")</f>
        <v>Link</v>
      </c>
      <c r="E1169" s="2">
        <v>7.8920000000000003</v>
      </c>
      <c r="F1169" s="3">
        <v>1</v>
      </c>
      <c r="G1169" t="s">
        <v>29</v>
      </c>
      <c r="H1169" t="s">
        <v>2820</v>
      </c>
      <c r="I1169" t="s">
        <v>48</v>
      </c>
      <c r="J1169" s="3">
        <v>17</v>
      </c>
      <c r="K1169" t="s">
        <v>1962</v>
      </c>
      <c r="L1169" t="s">
        <v>879</v>
      </c>
      <c r="M1169" s="4">
        <v>0.24</v>
      </c>
      <c r="N1169" s="4">
        <v>0</v>
      </c>
    </row>
    <row r="1170" spans="1:14" x14ac:dyDescent="0.4">
      <c r="A1170">
        <v>1169</v>
      </c>
      <c r="B1170">
        <v>2014</v>
      </c>
      <c r="C1170" t="s">
        <v>2821</v>
      </c>
      <c r="D1170" t="str">
        <f>HYPERLINK("https://ota.tournamentsoftware.com/player-profile/2717E828-0882-43B7-ADDB-D078FFA580CF", "Link")</f>
        <v>Link</v>
      </c>
      <c r="E1170" s="2">
        <v>7.7759999999999998</v>
      </c>
      <c r="F1170" s="3">
        <v>2</v>
      </c>
      <c r="G1170" t="s">
        <v>20</v>
      </c>
      <c r="H1170" t="s">
        <v>919</v>
      </c>
      <c r="I1170" t="s">
        <v>48</v>
      </c>
      <c r="J1170" s="3">
        <v>32</v>
      </c>
      <c r="K1170" t="s">
        <v>2561</v>
      </c>
      <c r="L1170" t="s">
        <v>31</v>
      </c>
      <c r="M1170" s="4">
        <v>0.16</v>
      </c>
      <c r="N1170" s="4">
        <v>0</v>
      </c>
    </row>
    <row r="1171" spans="1:14" x14ac:dyDescent="0.4">
      <c r="A1171">
        <v>1170</v>
      </c>
      <c r="B1171">
        <v>2015</v>
      </c>
      <c r="C1171" t="s">
        <v>2822</v>
      </c>
      <c r="D1171" t="str">
        <f>HYPERLINK("https://ota.tournamentsoftware.com/player-profile/46430071-90F3-4471-A44B-9BE4F31E2D72", "Link")</f>
        <v>Link</v>
      </c>
      <c r="E1171" s="2">
        <v>7.6520000000000001</v>
      </c>
      <c r="F1171" s="3">
        <v>2</v>
      </c>
      <c r="G1171" t="s">
        <v>435</v>
      </c>
      <c r="H1171" t="s">
        <v>436</v>
      </c>
      <c r="I1171">
        <v>40</v>
      </c>
      <c r="J1171" s="3">
        <v>54</v>
      </c>
      <c r="K1171" t="s">
        <v>2823</v>
      </c>
      <c r="L1171" t="s">
        <v>932</v>
      </c>
      <c r="M1171" s="4">
        <v>0.31</v>
      </c>
      <c r="N1171" s="4">
        <v>0.3</v>
      </c>
    </row>
    <row r="1172" spans="1:14" x14ac:dyDescent="0.4">
      <c r="A1172">
        <v>1171</v>
      </c>
      <c r="B1172">
        <v>2014</v>
      </c>
      <c r="C1172" t="s">
        <v>2824</v>
      </c>
      <c r="D1172" t="str">
        <f>HYPERLINK("https://ota.tournamentsoftware.com/player-profile/7AE565BD-506E-4133-AA69-F89B361E38C0", "Link")</f>
        <v>Link</v>
      </c>
      <c r="E1172" s="2">
        <v>7.5519999999999996</v>
      </c>
      <c r="F1172" s="3">
        <v>1</v>
      </c>
      <c r="G1172" t="s">
        <v>29</v>
      </c>
      <c r="H1172" t="s">
        <v>103</v>
      </c>
      <c r="I1172">
        <v>39.4</v>
      </c>
      <c r="J1172" s="3">
        <v>14</v>
      </c>
      <c r="K1172" t="s">
        <v>1090</v>
      </c>
      <c r="L1172" t="s">
        <v>433</v>
      </c>
      <c r="M1172" s="4">
        <v>0.28999999999999998</v>
      </c>
      <c r="N1172" s="4">
        <v>0</v>
      </c>
    </row>
    <row r="1173" spans="1:14" x14ac:dyDescent="0.4">
      <c r="A1173">
        <v>1172</v>
      </c>
      <c r="B1173">
        <v>2015</v>
      </c>
      <c r="C1173" t="s">
        <v>2825</v>
      </c>
      <c r="D1173" t="str">
        <f>HYPERLINK("https://ota.tournamentsoftware.com/player-profile/152EACD1-B447-4FFD-B45D-419526079F6E", "Link")</f>
        <v>Link</v>
      </c>
      <c r="E1173" s="2">
        <v>7.5069999999999997</v>
      </c>
      <c r="F1173" s="3">
        <v>2</v>
      </c>
      <c r="G1173" t="s">
        <v>109</v>
      </c>
      <c r="H1173" t="s">
        <v>2826</v>
      </c>
      <c r="I1173">
        <v>37.700000000000003</v>
      </c>
      <c r="J1173" s="3">
        <v>24</v>
      </c>
      <c r="K1173" t="s">
        <v>786</v>
      </c>
      <c r="L1173" t="s">
        <v>1107</v>
      </c>
      <c r="M1173" s="4">
        <v>0.5</v>
      </c>
      <c r="N1173" s="4">
        <v>0.67</v>
      </c>
    </row>
    <row r="1174" spans="1:14" x14ac:dyDescent="0.4">
      <c r="A1174">
        <v>1173</v>
      </c>
      <c r="B1174">
        <v>2014</v>
      </c>
      <c r="C1174" t="s">
        <v>2827</v>
      </c>
      <c r="D1174" t="str">
        <f>HYPERLINK("https://ota.tournamentsoftware.com/player-profile/3376BA08-B4B7-40B5-A81E-8F995772526B", "Link")</f>
        <v>Link</v>
      </c>
      <c r="E1174" s="2">
        <v>7.2220000000000004</v>
      </c>
      <c r="F1174" s="3">
        <v>6</v>
      </c>
      <c r="G1174" t="s">
        <v>109</v>
      </c>
      <c r="H1174" t="s">
        <v>1714</v>
      </c>
      <c r="I1174">
        <v>37.299999999999997</v>
      </c>
      <c r="J1174" s="3">
        <v>16</v>
      </c>
      <c r="K1174" t="s">
        <v>537</v>
      </c>
      <c r="L1174" t="s">
        <v>537</v>
      </c>
      <c r="M1174" s="4">
        <v>0.5</v>
      </c>
      <c r="N1174" s="4">
        <v>0.5</v>
      </c>
    </row>
    <row r="1175" spans="1:14" x14ac:dyDescent="0.4">
      <c r="A1175">
        <v>1174</v>
      </c>
      <c r="B1175">
        <v>2013</v>
      </c>
      <c r="C1175" t="s">
        <v>2828</v>
      </c>
      <c r="D1175" t="str">
        <f>HYPERLINK("https://ota.tournamentsoftware.com/player-profile/A4EAF82E-5402-4B2B-B03B-0E790D9A9F99", "Link")</f>
        <v>Link</v>
      </c>
      <c r="E1175" s="2">
        <v>7.1740000000000004</v>
      </c>
      <c r="F1175" s="3">
        <v>2</v>
      </c>
      <c r="G1175" t="s">
        <v>25</v>
      </c>
      <c r="H1175" t="s">
        <v>2793</v>
      </c>
      <c r="I1175" t="s">
        <v>48</v>
      </c>
      <c r="J1175" s="3">
        <v>10</v>
      </c>
      <c r="K1175" t="s">
        <v>1120</v>
      </c>
      <c r="L1175" t="s">
        <v>31</v>
      </c>
      <c r="M1175" s="4">
        <v>0.4</v>
      </c>
      <c r="N1175" s="4">
        <v>0</v>
      </c>
    </row>
    <row r="1176" spans="1:14" x14ac:dyDescent="0.4">
      <c r="A1176">
        <v>1175</v>
      </c>
      <c r="B1176">
        <v>2017</v>
      </c>
      <c r="C1176" t="s">
        <v>2829</v>
      </c>
      <c r="D1176" t="str">
        <f>HYPERLINK("https://ota.tournamentsoftware.com/player-profile/51158AF8-F463-4974-AE1F-B1924D114B2F", "Link")</f>
        <v>Link</v>
      </c>
      <c r="E1176" s="2">
        <v>6.84</v>
      </c>
      <c r="F1176" s="3">
        <v>2</v>
      </c>
      <c r="G1176" t="s">
        <v>29</v>
      </c>
      <c r="H1176" t="s">
        <v>2003</v>
      </c>
      <c r="I1176">
        <v>38.6</v>
      </c>
      <c r="J1176" s="3">
        <v>7</v>
      </c>
      <c r="K1176" t="s">
        <v>872</v>
      </c>
      <c r="L1176" t="s">
        <v>872</v>
      </c>
      <c r="M1176" s="4">
        <v>0.28999999999999998</v>
      </c>
      <c r="N1176" s="4">
        <v>0.28999999999999998</v>
      </c>
    </row>
    <row r="1177" spans="1:14" x14ac:dyDescent="0.4">
      <c r="A1177">
        <v>1176</v>
      </c>
      <c r="B1177">
        <v>2010</v>
      </c>
      <c r="C1177" t="s">
        <v>2830</v>
      </c>
      <c r="D1177" t="str">
        <f>HYPERLINK("https://ota.tournamentsoftware.com/player-profile/C516C06B-0BD2-459D-AA5D-F49EDF498A31", "Link")</f>
        <v>Link</v>
      </c>
      <c r="E1177" s="2">
        <v>6.8170000000000002</v>
      </c>
      <c r="F1177" s="3">
        <v>1</v>
      </c>
      <c r="G1177" t="s">
        <v>109</v>
      </c>
      <c r="H1177" t="s">
        <v>16</v>
      </c>
      <c r="I1177">
        <v>39.799999999999997</v>
      </c>
      <c r="J1177" s="3">
        <v>35</v>
      </c>
      <c r="K1177" t="s">
        <v>2746</v>
      </c>
      <c r="L1177" t="s">
        <v>31</v>
      </c>
      <c r="M1177" s="4">
        <v>0.17</v>
      </c>
      <c r="N1177" s="4">
        <v>0</v>
      </c>
    </row>
    <row r="1178" spans="1:14" x14ac:dyDescent="0.4">
      <c r="A1178">
        <v>1177</v>
      </c>
      <c r="B1178">
        <v>2012</v>
      </c>
      <c r="C1178" t="s">
        <v>2831</v>
      </c>
      <c r="D1178" t="str">
        <f>HYPERLINK("https://ota.tournamentsoftware.com/player-profile/E9B78A0F-EA3C-42B6-B795-AA591E989391", "Link")</f>
        <v>Link</v>
      </c>
      <c r="E1178" s="2">
        <v>6.6749999999999998</v>
      </c>
      <c r="F1178" s="3">
        <v>1</v>
      </c>
      <c r="G1178" t="s">
        <v>20</v>
      </c>
      <c r="H1178" t="s">
        <v>809</v>
      </c>
      <c r="I1178">
        <v>37.1</v>
      </c>
      <c r="J1178" s="3">
        <v>6</v>
      </c>
      <c r="K1178" t="s">
        <v>1189</v>
      </c>
      <c r="L1178" t="s">
        <v>1524</v>
      </c>
      <c r="M1178" s="4">
        <v>0.17</v>
      </c>
      <c r="N1178" s="4">
        <v>0</v>
      </c>
    </row>
    <row r="1179" spans="1:14" x14ac:dyDescent="0.4">
      <c r="A1179">
        <v>1178</v>
      </c>
      <c r="B1179">
        <v>2014</v>
      </c>
      <c r="C1179" t="s">
        <v>2832</v>
      </c>
      <c r="D1179" t="str">
        <f>HYPERLINK("https://ota.tournamentsoftware.com/player-profile/7FD8D72E-3679-4613-A482-A282508BEA32", "Link")</f>
        <v>Link</v>
      </c>
      <c r="E1179" s="2">
        <v>6.6070000000000002</v>
      </c>
      <c r="F1179" s="3">
        <v>2</v>
      </c>
      <c r="G1179" t="s">
        <v>29</v>
      </c>
      <c r="H1179" t="s">
        <v>1078</v>
      </c>
      <c r="I1179">
        <v>39.5</v>
      </c>
      <c r="J1179" s="3">
        <v>23</v>
      </c>
      <c r="K1179" t="s">
        <v>1487</v>
      </c>
      <c r="L1179" t="s">
        <v>999</v>
      </c>
      <c r="M1179" s="4">
        <v>0.3</v>
      </c>
      <c r="N1179" s="4">
        <v>0.43</v>
      </c>
    </row>
    <row r="1180" spans="1:14" x14ac:dyDescent="0.4">
      <c r="A1180">
        <v>1178</v>
      </c>
      <c r="B1180">
        <v>2015</v>
      </c>
      <c r="C1180" t="s">
        <v>2833</v>
      </c>
      <c r="D1180" t="str">
        <f>HYPERLINK("https://ota.tournamentsoftware.com/player-profile/200B8C95-20A4-4F60-90C6-7E30A84EAEA7", "Link")</f>
        <v>Link</v>
      </c>
      <c r="E1180" s="2">
        <v>6.6070000000000002</v>
      </c>
      <c r="F1180" s="3">
        <v>2</v>
      </c>
      <c r="G1180" t="s">
        <v>29</v>
      </c>
      <c r="H1180" t="s">
        <v>16</v>
      </c>
      <c r="I1180">
        <v>39.4</v>
      </c>
      <c r="J1180" s="3">
        <v>55</v>
      </c>
      <c r="K1180" t="s">
        <v>882</v>
      </c>
      <c r="L1180" t="s">
        <v>879</v>
      </c>
      <c r="M1180" s="4">
        <v>0.51</v>
      </c>
      <c r="N1180" s="4">
        <v>0</v>
      </c>
    </row>
    <row r="1181" spans="1:14" x14ac:dyDescent="0.4">
      <c r="A1181">
        <v>1180</v>
      </c>
      <c r="B1181">
        <v>2014</v>
      </c>
      <c r="C1181" t="s">
        <v>2834</v>
      </c>
      <c r="D1181" t="str">
        <f>HYPERLINK("https://ota.tournamentsoftware.com/player-profile/318B72C3-8E32-46E5-B532-524E3B59755C", "Link")</f>
        <v>Link</v>
      </c>
      <c r="E1181" s="2">
        <v>6.48</v>
      </c>
      <c r="F1181" s="3">
        <v>1</v>
      </c>
      <c r="G1181" t="s">
        <v>29</v>
      </c>
      <c r="H1181" t="s">
        <v>2394</v>
      </c>
      <c r="I1181">
        <v>38.299999999999997</v>
      </c>
      <c r="J1181" s="3">
        <v>18</v>
      </c>
      <c r="K1181" t="s">
        <v>2790</v>
      </c>
      <c r="L1181" t="s">
        <v>469</v>
      </c>
      <c r="M1181" s="4">
        <v>0.56000000000000005</v>
      </c>
      <c r="N1181" s="4">
        <v>0.62</v>
      </c>
    </row>
    <row r="1182" spans="1:14" x14ac:dyDescent="0.4">
      <c r="A1182">
        <v>1180</v>
      </c>
      <c r="B1182">
        <v>2015</v>
      </c>
      <c r="C1182" t="s">
        <v>2835</v>
      </c>
      <c r="D1182" t="str">
        <f>HYPERLINK("https://ota.tournamentsoftware.com/player-profile/6BFBAA24-1779-441C-B7FC-7EF81219D270", "Link")</f>
        <v>Link</v>
      </c>
      <c r="E1182" s="2">
        <v>6.48</v>
      </c>
      <c r="F1182" s="3">
        <v>1</v>
      </c>
      <c r="G1182" t="s">
        <v>29</v>
      </c>
      <c r="H1182" t="s">
        <v>2124</v>
      </c>
      <c r="I1182">
        <v>36.4</v>
      </c>
      <c r="J1182" s="3">
        <v>19</v>
      </c>
      <c r="K1182" t="s">
        <v>2836</v>
      </c>
      <c r="L1182" t="s">
        <v>523</v>
      </c>
      <c r="M1182" s="4">
        <v>0.16</v>
      </c>
      <c r="N1182" s="4">
        <v>0.5</v>
      </c>
    </row>
    <row r="1183" spans="1:14" x14ac:dyDescent="0.4">
      <c r="A1183">
        <v>1180</v>
      </c>
      <c r="B1183">
        <v>2017</v>
      </c>
      <c r="C1183" t="s">
        <v>2837</v>
      </c>
      <c r="D1183" t="str">
        <f>HYPERLINK("https://ota.tournamentsoftware.com/player-profile/26AD4F6A-B4DE-4D98-85C5-1F82427AD36B", "Link")</f>
        <v>Link</v>
      </c>
      <c r="E1183" s="2">
        <v>6.48</v>
      </c>
      <c r="F1183" s="3">
        <v>1</v>
      </c>
      <c r="G1183" t="s">
        <v>29</v>
      </c>
      <c r="H1183" t="s">
        <v>916</v>
      </c>
      <c r="I1183" t="s">
        <v>48</v>
      </c>
      <c r="J1183" s="3">
        <v>171</v>
      </c>
      <c r="K1183" t="s">
        <v>742</v>
      </c>
      <c r="L1183" t="s">
        <v>2838</v>
      </c>
      <c r="M1183" s="4">
        <v>0.53</v>
      </c>
      <c r="N1183" s="4">
        <v>0.59</v>
      </c>
    </row>
    <row r="1184" spans="1:14" x14ac:dyDescent="0.4">
      <c r="A1184">
        <v>1180</v>
      </c>
      <c r="B1184">
        <v>2014</v>
      </c>
      <c r="C1184" t="s">
        <v>2839</v>
      </c>
      <c r="D1184" t="str">
        <f>HYPERLINK("https://ota.tournamentsoftware.com/player-profile/116FA89C-68A6-4FE9-ADC6-34260809351C", "Link")</f>
        <v>Link</v>
      </c>
      <c r="E1184" s="2">
        <v>6.48</v>
      </c>
      <c r="F1184" s="3">
        <v>1</v>
      </c>
      <c r="G1184" t="s">
        <v>29</v>
      </c>
      <c r="H1184" t="s">
        <v>2193</v>
      </c>
      <c r="I1184" t="s">
        <v>48</v>
      </c>
      <c r="J1184" s="3">
        <v>1</v>
      </c>
      <c r="K1184" t="s">
        <v>433</v>
      </c>
      <c r="L1184" t="s">
        <v>433</v>
      </c>
      <c r="M1184" s="4">
        <v>0</v>
      </c>
      <c r="N1184" s="4">
        <v>0</v>
      </c>
    </row>
    <row r="1185" spans="1:14" x14ac:dyDescent="0.4">
      <c r="A1185">
        <v>1180</v>
      </c>
      <c r="B1185">
        <v>2016</v>
      </c>
      <c r="C1185" t="s">
        <v>2840</v>
      </c>
      <c r="D1185" t="str">
        <f>HYPERLINK("https://ota.tournamentsoftware.com/player-profile/961D5F8B-09E8-477B-A5D4-F4815570D913", "Link")</f>
        <v>Link</v>
      </c>
      <c r="E1185" s="2">
        <v>6.48</v>
      </c>
      <c r="F1185" s="3">
        <v>2</v>
      </c>
      <c r="G1185" t="s">
        <v>29</v>
      </c>
      <c r="H1185" t="s">
        <v>2602</v>
      </c>
      <c r="I1185" t="s">
        <v>48</v>
      </c>
      <c r="J1185" s="3">
        <v>84</v>
      </c>
      <c r="K1185" t="s">
        <v>1248</v>
      </c>
      <c r="L1185" t="s">
        <v>668</v>
      </c>
      <c r="M1185" s="4">
        <v>0.49</v>
      </c>
      <c r="N1185" s="4">
        <v>0.47</v>
      </c>
    </row>
    <row r="1186" spans="1:14" x14ac:dyDescent="0.4">
      <c r="A1186">
        <v>1180</v>
      </c>
      <c r="B1186">
        <v>2014</v>
      </c>
      <c r="C1186" t="s">
        <v>2841</v>
      </c>
      <c r="D1186" t="str">
        <f>HYPERLINK("https://ota.tournamentsoftware.com/player-profile/93EB3F3A-118C-460C-AB18-42D8F042E5A9", "Link")</f>
        <v>Link</v>
      </c>
      <c r="E1186" s="2">
        <v>6.48</v>
      </c>
      <c r="F1186" s="3">
        <v>1</v>
      </c>
      <c r="G1186" t="s">
        <v>29</v>
      </c>
      <c r="H1186" t="s">
        <v>2748</v>
      </c>
      <c r="I1186">
        <v>38.5</v>
      </c>
      <c r="J1186" s="3">
        <v>6</v>
      </c>
      <c r="K1186" t="s">
        <v>2462</v>
      </c>
      <c r="L1186" t="s">
        <v>2462</v>
      </c>
      <c r="M1186" s="4">
        <v>0.67</v>
      </c>
      <c r="N1186" s="4">
        <v>0.67</v>
      </c>
    </row>
    <row r="1187" spans="1:14" x14ac:dyDescent="0.4">
      <c r="A1187">
        <v>1186</v>
      </c>
      <c r="B1187">
        <v>2015</v>
      </c>
      <c r="C1187" t="s">
        <v>2842</v>
      </c>
      <c r="D1187" t="str">
        <f>HYPERLINK("https://ota.tournamentsoftware.com/player-profile/48292DD6-1A8C-41C7-997E-9A5C5BD68EFF", "Link")</f>
        <v>Link</v>
      </c>
      <c r="E1187" s="2">
        <v>6.4779999999999998</v>
      </c>
      <c r="F1187" s="3">
        <v>2</v>
      </c>
      <c r="G1187" t="s">
        <v>109</v>
      </c>
      <c r="H1187" t="s">
        <v>2843</v>
      </c>
      <c r="I1187">
        <v>39.299999999999997</v>
      </c>
      <c r="J1187" s="3">
        <v>10</v>
      </c>
      <c r="K1187" t="s">
        <v>932</v>
      </c>
      <c r="L1187" t="s">
        <v>1267</v>
      </c>
      <c r="M1187" s="4">
        <v>0.3</v>
      </c>
      <c r="N1187" s="4">
        <v>0.25</v>
      </c>
    </row>
    <row r="1188" spans="1:14" x14ac:dyDescent="0.4">
      <c r="A1188">
        <v>1187</v>
      </c>
      <c r="B1188">
        <v>2015</v>
      </c>
      <c r="C1188" t="s">
        <v>2844</v>
      </c>
      <c r="D1188" t="str">
        <f>HYPERLINK("https://ota.tournamentsoftware.com/player-profile/2142B288-43FF-46B4-8037-BD18E957E823", "Link")</f>
        <v>Link</v>
      </c>
      <c r="E1188" s="2">
        <v>6.33</v>
      </c>
      <c r="F1188" s="3">
        <v>2</v>
      </c>
      <c r="G1188" t="s">
        <v>20</v>
      </c>
      <c r="H1188" t="s">
        <v>809</v>
      </c>
      <c r="I1188" t="s">
        <v>48</v>
      </c>
      <c r="J1188" s="3">
        <v>58</v>
      </c>
      <c r="K1188" t="s">
        <v>2845</v>
      </c>
      <c r="L1188" t="s">
        <v>537</v>
      </c>
      <c r="M1188" s="4">
        <v>0.48</v>
      </c>
      <c r="N1188" s="4">
        <v>0.5</v>
      </c>
    </row>
    <row r="1189" spans="1:14" x14ac:dyDescent="0.4">
      <c r="A1189">
        <v>1188</v>
      </c>
      <c r="B1189">
        <v>2012</v>
      </c>
      <c r="C1189" t="s">
        <v>2846</v>
      </c>
      <c r="D1189" t="str">
        <f>HYPERLINK("https://ota.tournamentsoftware.com/player-profile/8FFC114F-FEF3-40BF-AF97-E338D1EA4209", "Link")</f>
        <v>Link</v>
      </c>
      <c r="E1189" s="2">
        <v>6.2480000000000002</v>
      </c>
      <c r="F1189" s="3">
        <v>1</v>
      </c>
      <c r="G1189" t="s">
        <v>20</v>
      </c>
      <c r="H1189" t="s">
        <v>16</v>
      </c>
      <c r="I1189">
        <v>38.1</v>
      </c>
      <c r="J1189" s="3">
        <v>14</v>
      </c>
      <c r="K1189" t="s">
        <v>1097</v>
      </c>
      <c r="L1189" t="s">
        <v>1243</v>
      </c>
      <c r="M1189" s="4">
        <v>0.36</v>
      </c>
      <c r="N1189" s="4">
        <v>0.4</v>
      </c>
    </row>
    <row r="1190" spans="1:14" x14ac:dyDescent="0.4">
      <c r="A1190">
        <v>1188</v>
      </c>
      <c r="B1190">
        <v>2012</v>
      </c>
      <c r="C1190" t="s">
        <v>2847</v>
      </c>
      <c r="D1190" t="str">
        <f>HYPERLINK("https://ota.tournamentsoftware.com/player-profile/1E917C5C-2B33-48E2-908B-A812DD532CD4", "Link")</f>
        <v>Link</v>
      </c>
      <c r="E1190" s="2">
        <v>6.2480000000000002</v>
      </c>
      <c r="F1190" s="3">
        <v>1</v>
      </c>
      <c r="G1190" t="s">
        <v>20</v>
      </c>
      <c r="H1190" t="s">
        <v>16</v>
      </c>
      <c r="I1190">
        <v>37.6</v>
      </c>
      <c r="J1190" s="3">
        <v>13</v>
      </c>
      <c r="K1190" t="s">
        <v>1287</v>
      </c>
      <c r="L1190" t="s">
        <v>1674</v>
      </c>
      <c r="M1190" s="4">
        <v>0.15</v>
      </c>
      <c r="N1190" s="4">
        <v>0.2</v>
      </c>
    </row>
    <row r="1191" spans="1:14" x14ac:dyDescent="0.4">
      <c r="A1191">
        <v>1190</v>
      </c>
      <c r="B1191">
        <v>2015</v>
      </c>
      <c r="C1191" t="s">
        <v>2848</v>
      </c>
      <c r="D1191" t="str">
        <f>HYPERLINK("https://ota.tournamentsoftware.com/player-profile/30626EFD-AB33-4307-B2FA-1CF205F3C271", "Link")</f>
        <v>Link</v>
      </c>
      <c r="E1191" s="2">
        <v>6.23</v>
      </c>
      <c r="F1191" s="3">
        <v>1</v>
      </c>
      <c r="G1191" t="s">
        <v>29</v>
      </c>
      <c r="H1191" t="s">
        <v>2849</v>
      </c>
      <c r="I1191">
        <v>37.5</v>
      </c>
      <c r="J1191" s="3">
        <v>50</v>
      </c>
      <c r="K1191" t="s">
        <v>2447</v>
      </c>
      <c r="L1191" t="s">
        <v>31</v>
      </c>
      <c r="M1191" s="4">
        <v>0.46</v>
      </c>
      <c r="N1191" s="4">
        <v>0</v>
      </c>
    </row>
    <row r="1192" spans="1:14" x14ac:dyDescent="0.4">
      <c r="A1192">
        <v>1191</v>
      </c>
      <c r="B1192">
        <v>2011</v>
      </c>
      <c r="C1192" t="s">
        <v>2850</v>
      </c>
      <c r="D1192" t="str">
        <f>HYPERLINK("https://ota.tournamentsoftware.com/player-profile/E5D02010-76EB-4424-81AC-724C3A9F5516", "Link")</f>
        <v>Link</v>
      </c>
      <c r="E1192" s="2">
        <v>6.1520000000000001</v>
      </c>
      <c r="F1192" s="3">
        <v>3</v>
      </c>
      <c r="G1192" t="s">
        <v>109</v>
      </c>
      <c r="H1192" t="s">
        <v>2851</v>
      </c>
      <c r="I1192">
        <v>38.200000000000003</v>
      </c>
      <c r="J1192" s="3">
        <v>4</v>
      </c>
      <c r="K1192" t="s">
        <v>879</v>
      </c>
      <c r="L1192" t="s">
        <v>1721</v>
      </c>
      <c r="M1192" s="4">
        <v>0</v>
      </c>
      <c r="N1192" s="4">
        <v>0</v>
      </c>
    </row>
    <row r="1193" spans="1:14" x14ac:dyDescent="0.4">
      <c r="A1193">
        <v>1191</v>
      </c>
      <c r="B1193">
        <v>2010</v>
      </c>
      <c r="C1193" t="s">
        <v>2852</v>
      </c>
      <c r="D1193" t="str">
        <f>HYPERLINK("https://ota.tournamentsoftware.com/player-profile/B270197D-D238-42D1-83B7-EB78D03F88C1", "Link")</f>
        <v>Link</v>
      </c>
      <c r="E1193" s="2">
        <v>6.1520000000000001</v>
      </c>
      <c r="F1193" s="3">
        <v>1</v>
      </c>
      <c r="G1193" t="s">
        <v>109</v>
      </c>
      <c r="H1193" t="s">
        <v>2853</v>
      </c>
      <c r="I1193">
        <v>33.4</v>
      </c>
      <c r="J1193" s="3">
        <v>1</v>
      </c>
      <c r="K1193" t="s">
        <v>433</v>
      </c>
      <c r="L1193" t="s">
        <v>433</v>
      </c>
      <c r="M1193" s="4">
        <v>0</v>
      </c>
      <c r="N1193" s="4">
        <v>0</v>
      </c>
    </row>
    <row r="1194" spans="1:14" x14ac:dyDescent="0.4">
      <c r="A1194">
        <v>1193</v>
      </c>
      <c r="B1194">
        <v>2014</v>
      </c>
      <c r="C1194" t="s">
        <v>2854</v>
      </c>
      <c r="D1194" t="str">
        <f>HYPERLINK("https://ota.tournamentsoftware.com/player-profile/741C9055-B842-4064-A339-E591B8FD72C4", "Link")</f>
        <v>Link</v>
      </c>
      <c r="E1194" s="2">
        <v>6</v>
      </c>
      <c r="F1194" s="3">
        <v>1</v>
      </c>
      <c r="G1194" t="s">
        <v>29</v>
      </c>
      <c r="H1194" t="s">
        <v>916</v>
      </c>
      <c r="I1194">
        <v>34.9</v>
      </c>
      <c r="J1194" s="3">
        <v>19</v>
      </c>
      <c r="K1194" t="s">
        <v>2855</v>
      </c>
      <c r="L1194" t="s">
        <v>31</v>
      </c>
      <c r="M1194" s="4">
        <v>0</v>
      </c>
      <c r="N1194" s="4">
        <v>0</v>
      </c>
    </row>
    <row r="1195" spans="1:14" x14ac:dyDescent="0.4">
      <c r="A1195">
        <v>1193</v>
      </c>
      <c r="B1195">
        <v>2015</v>
      </c>
      <c r="C1195" t="s">
        <v>2856</v>
      </c>
      <c r="D1195" t="str">
        <f>HYPERLINK("https://ota.tournamentsoftware.com/player-profile/7EED065B-4139-4D18-B6C0-4800BB20D171", "Link")</f>
        <v>Link</v>
      </c>
      <c r="E1195" s="2">
        <v>6</v>
      </c>
      <c r="F1195" s="3">
        <v>1</v>
      </c>
      <c r="G1195" t="s">
        <v>29</v>
      </c>
      <c r="H1195" t="s">
        <v>16</v>
      </c>
      <c r="I1195" t="s">
        <v>48</v>
      </c>
      <c r="J1195" s="3">
        <v>23</v>
      </c>
      <c r="K1195" t="s">
        <v>2857</v>
      </c>
      <c r="L1195" t="s">
        <v>31</v>
      </c>
      <c r="M1195" s="4">
        <v>0.17</v>
      </c>
      <c r="N1195" s="4">
        <v>0</v>
      </c>
    </row>
    <row r="1196" spans="1:14" x14ac:dyDescent="0.4">
      <c r="A1196">
        <v>1195</v>
      </c>
      <c r="B1196">
        <v>2015</v>
      </c>
      <c r="C1196" t="s">
        <v>2858</v>
      </c>
      <c r="D1196" t="str">
        <f>HYPERLINK("https://ota.tournamentsoftware.com/player-profile/081EF9A9-B991-431D-B2FC-AC8426BD2711", "Link")</f>
        <v>Link</v>
      </c>
      <c r="E1196" s="2">
        <v>5.8029999999999999</v>
      </c>
      <c r="F1196" s="3">
        <v>1</v>
      </c>
      <c r="G1196" t="s">
        <v>29</v>
      </c>
      <c r="H1196" t="s">
        <v>2003</v>
      </c>
      <c r="I1196" t="s">
        <v>48</v>
      </c>
      <c r="J1196" s="3">
        <v>6</v>
      </c>
      <c r="K1196" t="s">
        <v>1697</v>
      </c>
      <c r="L1196" t="s">
        <v>1697</v>
      </c>
      <c r="M1196" s="4">
        <v>0</v>
      </c>
      <c r="N1196" s="4">
        <v>0</v>
      </c>
    </row>
    <row r="1197" spans="1:14" x14ac:dyDescent="0.4">
      <c r="A1197">
        <v>1196</v>
      </c>
      <c r="B1197">
        <v>2011</v>
      </c>
      <c r="C1197" t="s">
        <v>2859</v>
      </c>
      <c r="D1197" t="str">
        <f>HYPERLINK("https://ota.tournamentsoftware.com/player-profile/A2B6BC7C-6778-467F-AFFB-05EBB1A3D3CD", "Link")</f>
        <v>Link</v>
      </c>
      <c r="E1197" s="2">
        <v>5.5730000000000004</v>
      </c>
      <c r="F1197" s="3">
        <v>3</v>
      </c>
      <c r="G1197" t="s">
        <v>109</v>
      </c>
      <c r="H1197" t="s">
        <v>2860</v>
      </c>
      <c r="I1197">
        <v>38.1</v>
      </c>
      <c r="J1197" s="3">
        <v>27</v>
      </c>
      <c r="K1197" t="s">
        <v>2424</v>
      </c>
      <c r="L1197" t="s">
        <v>31</v>
      </c>
      <c r="M1197" s="4">
        <v>0.3</v>
      </c>
      <c r="N1197" s="4">
        <v>0</v>
      </c>
    </row>
    <row r="1198" spans="1:14" x14ac:dyDescent="0.4">
      <c r="A1198">
        <v>1197</v>
      </c>
      <c r="B1198">
        <v>2014</v>
      </c>
      <c r="C1198" t="s">
        <v>2861</v>
      </c>
      <c r="D1198" t="str">
        <f>HYPERLINK("https://ota.tournamentsoftware.com/player-profile/3D9B7A28-72A0-4133-925D-142C95DC7FA9", "Link")</f>
        <v>Link</v>
      </c>
      <c r="E1198" s="2">
        <v>5.4969999999999999</v>
      </c>
      <c r="F1198" s="3">
        <v>1</v>
      </c>
      <c r="G1198" t="s">
        <v>25</v>
      </c>
      <c r="H1198" t="s">
        <v>1562</v>
      </c>
      <c r="I1198">
        <v>39.799999999999997</v>
      </c>
      <c r="J1198" s="3">
        <v>3</v>
      </c>
      <c r="K1198" t="s">
        <v>1721</v>
      </c>
      <c r="L1198" t="s">
        <v>1721</v>
      </c>
      <c r="M1198" s="4">
        <v>0</v>
      </c>
      <c r="N1198" s="4">
        <v>0</v>
      </c>
    </row>
    <row r="1199" spans="1:14" x14ac:dyDescent="0.4">
      <c r="A1199">
        <v>1198</v>
      </c>
      <c r="B1199">
        <v>2013</v>
      </c>
      <c r="C1199" t="s">
        <v>2862</v>
      </c>
      <c r="D1199" t="str">
        <f>HYPERLINK("https://ota.tournamentsoftware.com/player-profile/01D291A9-D1EC-4A34-907D-E221D9B25023", "Link")</f>
        <v>Link</v>
      </c>
      <c r="E1199" s="2">
        <v>5.4080000000000004</v>
      </c>
      <c r="F1199" s="3">
        <v>2</v>
      </c>
      <c r="G1199" t="s">
        <v>25</v>
      </c>
      <c r="H1199" t="s">
        <v>16</v>
      </c>
      <c r="I1199" t="s">
        <v>48</v>
      </c>
      <c r="J1199" s="3">
        <v>10</v>
      </c>
      <c r="K1199" t="s">
        <v>1854</v>
      </c>
      <c r="L1199" t="s">
        <v>31</v>
      </c>
      <c r="M1199" s="4">
        <v>0.2</v>
      </c>
      <c r="N1199" s="4">
        <v>0</v>
      </c>
    </row>
    <row r="1200" spans="1:14" x14ac:dyDescent="0.4">
      <c r="A1200">
        <v>1199</v>
      </c>
      <c r="B1200">
        <v>2012</v>
      </c>
      <c r="C1200" t="s">
        <v>2863</v>
      </c>
      <c r="D1200" t="str">
        <f>HYPERLINK("https://ota.tournamentsoftware.com/player-profile/EE28DE8E-EE8A-4FBB-885B-733BCB8A08C4", "Link")</f>
        <v>Link</v>
      </c>
      <c r="E1200" s="2">
        <v>5.4039999999999999</v>
      </c>
      <c r="F1200" s="3">
        <v>3</v>
      </c>
      <c r="G1200" t="s">
        <v>109</v>
      </c>
      <c r="H1200" t="s">
        <v>110</v>
      </c>
      <c r="I1200" t="s">
        <v>48</v>
      </c>
      <c r="J1200" s="3">
        <v>6</v>
      </c>
      <c r="K1200" t="s">
        <v>1189</v>
      </c>
      <c r="L1200" t="s">
        <v>523</v>
      </c>
      <c r="M1200" s="4">
        <v>0.17</v>
      </c>
      <c r="N1200" s="4">
        <v>0.5</v>
      </c>
    </row>
    <row r="1201" spans="1:14" x14ac:dyDescent="0.4">
      <c r="A1201">
        <v>1200</v>
      </c>
      <c r="B1201">
        <v>2016</v>
      </c>
      <c r="C1201" t="s">
        <v>2864</v>
      </c>
      <c r="D1201" t="str">
        <f>HYPERLINK("https://ota.tournamentsoftware.com/player-profile/B7C51186-F387-4E99-B849-E8275BB7C0E9", "Link")</f>
        <v>Link</v>
      </c>
      <c r="E1201" s="2">
        <v>5.125</v>
      </c>
      <c r="F1201" s="3">
        <v>1</v>
      </c>
      <c r="G1201" t="s">
        <v>29</v>
      </c>
      <c r="H1201" t="s">
        <v>1344</v>
      </c>
      <c r="I1201">
        <v>35.9</v>
      </c>
      <c r="J1201" s="3">
        <v>14</v>
      </c>
      <c r="K1201" t="s">
        <v>1200</v>
      </c>
      <c r="L1201" t="s">
        <v>999</v>
      </c>
      <c r="M1201" s="4">
        <v>0.43</v>
      </c>
      <c r="N1201" s="4">
        <v>0.43</v>
      </c>
    </row>
    <row r="1202" spans="1:14" x14ac:dyDescent="0.4">
      <c r="A1202">
        <v>1200</v>
      </c>
      <c r="B1202">
        <v>2014</v>
      </c>
      <c r="C1202" t="s">
        <v>2865</v>
      </c>
      <c r="D1202" t="str">
        <f>HYPERLINK("https://ota.tournamentsoftware.com/player-profile/4F87B1A1-F52A-4C8C-8C6B-776A59CC6D03", "Link")</f>
        <v>Link</v>
      </c>
      <c r="E1202" s="2">
        <v>5.125</v>
      </c>
      <c r="F1202" s="3">
        <v>1</v>
      </c>
      <c r="G1202" t="s">
        <v>29</v>
      </c>
      <c r="H1202" t="s">
        <v>2866</v>
      </c>
      <c r="I1202">
        <v>38.799999999999997</v>
      </c>
      <c r="J1202" s="3">
        <v>28</v>
      </c>
      <c r="K1202" t="s">
        <v>355</v>
      </c>
      <c r="L1202" t="s">
        <v>1455</v>
      </c>
      <c r="M1202" s="4">
        <v>0.39</v>
      </c>
      <c r="N1202" s="4">
        <v>0.37</v>
      </c>
    </row>
    <row r="1203" spans="1:14" x14ac:dyDescent="0.4">
      <c r="A1203">
        <v>1202</v>
      </c>
      <c r="B1203">
        <v>2012</v>
      </c>
      <c r="C1203" t="s">
        <v>2867</v>
      </c>
      <c r="D1203" t="str">
        <f>HYPERLINK("https://ota.tournamentsoftware.com/player-profile/288F03A3-20CB-46BE-B35D-7428B5B7FA35", "Link")</f>
        <v>Link</v>
      </c>
      <c r="E1203" s="2">
        <v>5.0540000000000003</v>
      </c>
      <c r="F1203" s="3">
        <v>2</v>
      </c>
      <c r="G1203" t="s">
        <v>20</v>
      </c>
      <c r="H1203" t="s">
        <v>226</v>
      </c>
      <c r="I1203">
        <v>38.6</v>
      </c>
      <c r="J1203" s="3">
        <v>18</v>
      </c>
      <c r="K1203" t="s">
        <v>2790</v>
      </c>
      <c r="L1203" t="s">
        <v>76</v>
      </c>
      <c r="M1203" s="4">
        <v>0.56000000000000005</v>
      </c>
      <c r="N1203" s="4">
        <v>0.6</v>
      </c>
    </row>
    <row r="1204" spans="1:14" x14ac:dyDescent="0.4">
      <c r="A1204">
        <v>1203</v>
      </c>
      <c r="B1204">
        <v>2013</v>
      </c>
      <c r="C1204" t="s">
        <v>2868</v>
      </c>
      <c r="D1204" t="str">
        <f>HYPERLINK("https://ota.tournamentsoftware.com/player-profile/FFEAFA99-A203-4A57-A5C8-1E0592A53A81", "Link")</f>
        <v>Link</v>
      </c>
      <c r="E1204" s="2">
        <v>5</v>
      </c>
      <c r="F1204" s="3">
        <v>1</v>
      </c>
      <c r="G1204" t="s">
        <v>20</v>
      </c>
      <c r="H1204" t="s">
        <v>919</v>
      </c>
      <c r="I1204">
        <v>39.700000000000003</v>
      </c>
      <c r="J1204" s="3">
        <v>13</v>
      </c>
      <c r="K1204" t="s">
        <v>2094</v>
      </c>
      <c r="L1204" t="s">
        <v>31</v>
      </c>
      <c r="M1204" s="4">
        <v>0.23</v>
      </c>
      <c r="N1204" s="4">
        <v>0</v>
      </c>
    </row>
    <row r="1205" spans="1:14" x14ac:dyDescent="0.4">
      <c r="A1205">
        <v>1203</v>
      </c>
      <c r="B1205">
        <v>2014</v>
      </c>
      <c r="C1205" t="s">
        <v>2869</v>
      </c>
      <c r="D1205" t="str">
        <f>HYPERLINK("https://ota.tournamentsoftware.com/player-profile/76B60137-7272-4F42-A455-109E20840062", "Link")</f>
        <v>Link</v>
      </c>
      <c r="E1205" s="2">
        <v>5</v>
      </c>
      <c r="F1205" s="3">
        <v>1</v>
      </c>
      <c r="G1205" t="s">
        <v>29</v>
      </c>
      <c r="H1205" t="s">
        <v>1689</v>
      </c>
      <c r="I1205">
        <v>34.9</v>
      </c>
      <c r="J1205" s="3">
        <v>14</v>
      </c>
      <c r="K1205" t="s">
        <v>2013</v>
      </c>
      <c r="L1205" t="s">
        <v>433</v>
      </c>
      <c r="M1205" s="4">
        <v>0</v>
      </c>
      <c r="N1205" s="4">
        <v>0</v>
      </c>
    </row>
    <row r="1206" spans="1:14" x14ac:dyDescent="0.4">
      <c r="A1206">
        <v>1203</v>
      </c>
      <c r="B1206">
        <v>2015</v>
      </c>
      <c r="C1206" t="s">
        <v>2870</v>
      </c>
      <c r="D1206" t="str">
        <f>HYPERLINK("https://ota.tournamentsoftware.com/player-profile/C8736B80-1071-4F4F-86B0-CA7FB630F618", "Link")</f>
        <v>Link</v>
      </c>
      <c r="E1206" s="2">
        <v>5</v>
      </c>
      <c r="F1206" s="3">
        <v>1</v>
      </c>
      <c r="G1206" t="s">
        <v>29</v>
      </c>
      <c r="H1206" t="s">
        <v>88</v>
      </c>
      <c r="I1206">
        <v>37.299999999999997</v>
      </c>
      <c r="J1206" s="3">
        <v>3</v>
      </c>
      <c r="K1206" t="s">
        <v>1721</v>
      </c>
      <c r="L1206" t="s">
        <v>31</v>
      </c>
      <c r="M1206" s="4">
        <v>0</v>
      </c>
      <c r="N1206" s="4">
        <v>0</v>
      </c>
    </row>
    <row r="1207" spans="1:14" x14ac:dyDescent="0.4">
      <c r="A1207">
        <v>1203</v>
      </c>
      <c r="B1207">
        <v>2014</v>
      </c>
      <c r="C1207" t="s">
        <v>2871</v>
      </c>
      <c r="D1207" t="str">
        <f>HYPERLINK("https://ota.tournamentsoftware.com/player-profile/7734E749-B5B7-4067-9AE1-B5CB58EFDC1A", "Link")</f>
        <v>Link</v>
      </c>
      <c r="E1207" s="2">
        <v>5</v>
      </c>
      <c r="F1207" s="3">
        <v>1</v>
      </c>
      <c r="G1207" t="s">
        <v>29</v>
      </c>
      <c r="H1207" t="s">
        <v>937</v>
      </c>
      <c r="I1207" t="s">
        <v>48</v>
      </c>
      <c r="J1207" s="3">
        <v>13</v>
      </c>
      <c r="K1207" t="s">
        <v>2301</v>
      </c>
      <c r="L1207" t="s">
        <v>534</v>
      </c>
      <c r="M1207" s="4">
        <v>0.38</v>
      </c>
      <c r="N1207" s="4">
        <v>0.56999999999999995</v>
      </c>
    </row>
    <row r="1208" spans="1:14" x14ac:dyDescent="0.4">
      <c r="A1208">
        <v>1207</v>
      </c>
      <c r="B1208">
        <v>2014</v>
      </c>
      <c r="C1208" t="s">
        <v>2872</v>
      </c>
      <c r="D1208" t="str">
        <f>HYPERLINK("https://ota.tournamentsoftware.com/player-profile/C042725A-21A9-463F-848F-04CEA3B56FE5", "Link")</f>
        <v>Link</v>
      </c>
      <c r="E1208" s="2">
        <v>4.9269999999999996</v>
      </c>
      <c r="F1208" s="3">
        <v>2</v>
      </c>
      <c r="G1208" t="s">
        <v>25</v>
      </c>
      <c r="H1208" t="s">
        <v>16</v>
      </c>
      <c r="I1208">
        <v>37.700000000000003</v>
      </c>
      <c r="J1208" s="3">
        <v>6</v>
      </c>
      <c r="K1208" t="s">
        <v>1189</v>
      </c>
      <c r="L1208" t="s">
        <v>1189</v>
      </c>
      <c r="M1208" s="4">
        <v>0.17</v>
      </c>
      <c r="N1208" s="4">
        <v>0.17</v>
      </c>
    </row>
    <row r="1209" spans="1:14" x14ac:dyDescent="0.4">
      <c r="A1209">
        <v>1208</v>
      </c>
      <c r="B1209">
        <v>2013</v>
      </c>
      <c r="C1209" t="s">
        <v>2873</v>
      </c>
      <c r="D1209" t="str">
        <f>HYPERLINK("https://ota.tournamentsoftware.com/player-profile/2A96F5BB-709B-450E-A0CA-0442985A8D03", "Link")</f>
        <v>Link</v>
      </c>
      <c r="E1209" s="2">
        <v>4.806</v>
      </c>
      <c r="F1209" s="3">
        <v>1</v>
      </c>
      <c r="G1209" t="s">
        <v>25</v>
      </c>
      <c r="H1209" t="s">
        <v>2874</v>
      </c>
      <c r="I1209" t="s">
        <v>48</v>
      </c>
      <c r="J1209" s="3">
        <v>1</v>
      </c>
      <c r="K1209" t="s">
        <v>433</v>
      </c>
      <c r="L1209" t="s">
        <v>31</v>
      </c>
      <c r="M1209" s="4">
        <v>0</v>
      </c>
      <c r="N1209" s="4">
        <v>0</v>
      </c>
    </row>
    <row r="1210" spans="1:14" x14ac:dyDescent="0.4">
      <c r="A1210">
        <v>1208</v>
      </c>
      <c r="B1210">
        <v>2014</v>
      </c>
      <c r="C1210" t="s">
        <v>2875</v>
      </c>
      <c r="D1210" t="str">
        <f>HYPERLINK("https://ota.tournamentsoftware.com/player-profile/E2ACD595-E7E5-40E3-935D-57DCECB8E04C", "Link")</f>
        <v>Link</v>
      </c>
      <c r="E1210" s="2">
        <v>4.806</v>
      </c>
      <c r="F1210" s="3">
        <v>1</v>
      </c>
      <c r="G1210" t="s">
        <v>29</v>
      </c>
      <c r="H1210" t="s">
        <v>2876</v>
      </c>
      <c r="I1210">
        <v>35.6</v>
      </c>
      <c r="J1210" s="3">
        <v>23</v>
      </c>
      <c r="K1210" t="s">
        <v>2877</v>
      </c>
      <c r="L1210" t="s">
        <v>523</v>
      </c>
      <c r="M1210" s="4">
        <v>0.13</v>
      </c>
      <c r="N1210" s="4">
        <v>0.5</v>
      </c>
    </row>
    <row r="1211" spans="1:14" x14ac:dyDescent="0.4">
      <c r="A1211">
        <v>1208</v>
      </c>
      <c r="B1211">
        <v>2014</v>
      </c>
      <c r="C1211" t="s">
        <v>1080</v>
      </c>
      <c r="D1211" t="str">
        <f>HYPERLINK("https://ota.tournamentsoftware.com/player-profile/872E410F-742F-4F80-9387-6C15C73FE92E", "Link")</f>
        <v>Link</v>
      </c>
      <c r="E1211" s="2">
        <v>4.806</v>
      </c>
      <c r="F1211" s="3">
        <v>1</v>
      </c>
      <c r="G1211" t="s">
        <v>29</v>
      </c>
      <c r="H1211" t="s">
        <v>81</v>
      </c>
      <c r="I1211">
        <v>38.5</v>
      </c>
      <c r="J1211" s="3">
        <v>18</v>
      </c>
      <c r="K1211" t="s">
        <v>2790</v>
      </c>
      <c r="L1211" t="s">
        <v>523</v>
      </c>
      <c r="M1211" s="4">
        <v>0.56000000000000005</v>
      </c>
      <c r="N1211" s="4">
        <v>0.5</v>
      </c>
    </row>
    <row r="1212" spans="1:14" x14ac:dyDescent="0.4">
      <c r="A1212">
        <v>1208</v>
      </c>
      <c r="B1212">
        <v>2014</v>
      </c>
      <c r="C1212" t="s">
        <v>2878</v>
      </c>
      <c r="D1212" t="str">
        <f>HYPERLINK("https://ota.tournamentsoftware.com/player-profile/CC36F5CC-203F-4A28-B27C-068A0E15610C", "Link")</f>
        <v>Link</v>
      </c>
      <c r="E1212" s="2">
        <v>4.806</v>
      </c>
      <c r="F1212" s="3">
        <v>2</v>
      </c>
      <c r="G1212" t="s">
        <v>20</v>
      </c>
      <c r="H1212" t="s">
        <v>1822</v>
      </c>
      <c r="I1212">
        <v>39.6</v>
      </c>
      <c r="J1212" s="3">
        <v>37</v>
      </c>
      <c r="K1212" t="s">
        <v>2879</v>
      </c>
      <c r="L1212" t="s">
        <v>1625</v>
      </c>
      <c r="M1212" s="4">
        <v>0.3</v>
      </c>
      <c r="N1212" s="4">
        <v>0.33</v>
      </c>
    </row>
    <row r="1213" spans="1:14" x14ac:dyDescent="0.4">
      <c r="A1213">
        <v>1212</v>
      </c>
      <c r="B1213">
        <v>2012</v>
      </c>
      <c r="C1213" t="s">
        <v>2880</v>
      </c>
      <c r="D1213" t="str">
        <f>HYPERLINK("https://ota.tournamentsoftware.com/player-profile/CB36C2DA-0DAF-44E4-AE44-0A925ED0DFC0", "Link")</f>
        <v>Link</v>
      </c>
      <c r="E1213" s="2">
        <v>4.5380000000000003</v>
      </c>
      <c r="F1213" s="3">
        <v>4</v>
      </c>
      <c r="G1213" t="s">
        <v>109</v>
      </c>
      <c r="H1213" t="s">
        <v>2681</v>
      </c>
      <c r="I1213">
        <v>38.4</v>
      </c>
      <c r="J1213" s="3">
        <v>25</v>
      </c>
      <c r="K1213" t="s">
        <v>1823</v>
      </c>
      <c r="L1213" t="s">
        <v>1524</v>
      </c>
      <c r="M1213" s="4">
        <v>0.24</v>
      </c>
      <c r="N1213" s="4">
        <v>0</v>
      </c>
    </row>
    <row r="1214" spans="1:14" x14ac:dyDescent="0.4">
      <c r="A1214">
        <v>1213</v>
      </c>
      <c r="B1214">
        <v>2016</v>
      </c>
      <c r="C1214" t="s">
        <v>2881</v>
      </c>
      <c r="D1214" t="str">
        <f>HYPERLINK("https://ota.tournamentsoftware.com/player-profile/6B7246D7-C656-43B4-A93A-54E15E04D73D", "Link")</f>
        <v>Link</v>
      </c>
      <c r="E1214" s="2">
        <v>4.5359999999999996</v>
      </c>
      <c r="F1214" s="3">
        <v>9</v>
      </c>
      <c r="G1214" t="s">
        <v>109</v>
      </c>
      <c r="H1214" t="s">
        <v>387</v>
      </c>
      <c r="I1214">
        <v>38.4</v>
      </c>
      <c r="J1214" s="3">
        <v>77</v>
      </c>
      <c r="K1214" t="s">
        <v>2882</v>
      </c>
      <c r="L1214" t="s">
        <v>976</v>
      </c>
      <c r="M1214" s="4">
        <v>0.4</v>
      </c>
      <c r="N1214" s="4">
        <v>0.4</v>
      </c>
    </row>
    <row r="1215" spans="1:14" x14ac:dyDescent="0.4">
      <c r="A1215">
        <v>1214</v>
      </c>
      <c r="B1215">
        <v>2010</v>
      </c>
      <c r="C1215" t="s">
        <v>2883</v>
      </c>
      <c r="D1215" t="str">
        <f>HYPERLINK("https://ota.tournamentsoftware.com/player-profile/06BEDAE6-9087-4283-8293-F8C6A4063DAF", "Link")</f>
        <v>Link</v>
      </c>
      <c r="E1215" s="2">
        <v>4.2770000000000001</v>
      </c>
      <c r="F1215" s="3">
        <v>1</v>
      </c>
      <c r="G1215" t="s">
        <v>109</v>
      </c>
      <c r="H1215" t="s">
        <v>2860</v>
      </c>
      <c r="I1215" t="s">
        <v>48</v>
      </c>
      <c r="J1215" s="3">
        <v>28</v>
      </c>
      <c r="K1215" t="s">
        <v>2884</v>
      </c>
      <c r="L1215" t="s">
        <v>31</v>
      </c>
      <c r="M1215" s="4">
        <v>0.25</v>
      </c>
      <c r="N1215" s="4">
        <v>0</v>
      </c>
    </row>
    <row r="1216" spans="1:14" x14ac:dyDescent="0.4">
      <c r="A1216">
        <v>1215</v>
      </c>
      <c r="B1216">
        <v>2012</v>
      </c>
      <c r="C1216" t="s">
        <v>2885</v>
      </c>
      <c r="D1216" t="str">
        <f>HYPERLINK("https://ota.tournamentsoftware.com/player-profile/9262B9F2-035F-451E-8B86-6E98C95AB597", "Link")</f>
        <v>Link</v>
      </c>
      <c r="E1216" s="2">
        <v>4.173</v>
      </c>
      <c r="F1216" s="3">
        <v>2</v>
      </c>
      <c r="G1216" t="s">
        <v>109</v>
      </c>
      <c r="H1216" t="s">
        <v>281</v>
      </c>
      <c r="I1216">
        <v>39.200000000000003</v>
      </c>
      <c r="J1216" s="3">
        <v>17</v>
      </c>
      <c r="K1216" t="s">
        <v>2886</v>
      </c>
      <c r="L1216" t="s">
        <v>31</v>
      </c>
      <c r="M1216" s="4">
        <v>0.06</v>
      </c>
      <c r="N1216" s="4">
        <v>0</v>
      </c>
    </row>
    <row r="1217" spans="1:14" x14ac:dyDescent="0.4">
      <c r="A1217">
        <v>1216</v>
      </c>
      <c r="B1217">
        <v>2015</v>
      </c>
      <c r="C1217" t="s">
        <v>2887</v>
      </c>
      <c r="D1217" t="str">
        <f>HYPERLINK("https://ota.tournamentsoftware.com/player-profile/E7A03006-4960-4A35-8B80-22CB122EB413", "Link")</f>
        <v>Link</v>
      </c>
      <c r="E1217" s="2">
        <v>4.1660000000000004</v>
      </c>
      <c r="F1217" s="3">
        <v>5</v>
      </c>
      <c r="G1217" t="s">
        <v>109</v>
      </c>
      <c r="H1217" t="s">
        <v>2888</v>
      </c>
      <c r="I1217">
        <v>40</v>
      </c>
      <c r="J1217" s="3">
        <v>8</v>
      </c>
      <c r="K1217" t="s">
        <v>1324</v>
      </c>
      <c r="L1217" t="s">
        <v>1324</v>
      </c>
      <c r="M1217" s="4">
        <v>0.12</v>
      </c>
      <c r="N1217" s="4">
        <v>0.12</v>
      </c>
    </row>
    <row r="1218" spans="1:14" x14ac:dyDescent="0.4">
      <c r="A1218">
        <v>1217</v>
      </c>
      <c r="B1218">
        <v>2015</v>
      </c>
      <c r="C1218" t="s">
        <v>2889</v>
      </c>
      <c r="D1218" t="str">
        <f>HYPERLINK("https://ota.tournamentsoftware.com/player-profile/553284DE-2D65-4837-B86A-2230DB300AC5", "Link")</f>
        <v>Link</v>
      </c>
      <c r="E1218" s="2">
        <v>4.077</v>
      </c>
      <c r="F1218" s="3">
        <v>1</v>
      </c>
      <c r="G1218" t="s">
        <v>29</v>
      </c>
      <c r="H1218" t="s">
        <v>16</v>
      </c>
      <c r="I1218" t="s">
        <v>48</v>
      </c>
      <c r="J1218" s="3">
        <v>1</v>
      </c>
      <c r="K1218" t="s">
        <v>433</v>
      </c>
      <c r="L1218" t="s">
        <v>433</v>
      </c>
      <c r="M1218" s="4">
        <v>0</v>
      </c>
      <c r="N1218" s="4">
        <v>0</v>
      </c>
    </row>
    <row r="1219" spans="1:14" x14ac:dyDescent="0.4">
      <c r="A1219">
        <v>1218</v>
      </c>
      <c r="B1219">
        <v>2016</v>
      </c>
      <c r="C1219" t="s">
        <v>2890</v>
      </c>
      <c r="D1219" t="str">
        <f>HYPERLINK("https://ota.tournamentsoftware.com/player-profile/C4571297-B444-4579-A011-D24753628021", "Link")</f>
        <v>Link</v>
      </c>
      <c r="E1219" s="2">
        <v>4.0519999999999996</v>
      </c>
      <c r="F1219" s="3">
        <v>6</v>
      </c>
      <c r="G1219" t="s">
        <v>173</v>
      </c>
      <c r="H1219" t="s">
        <v>174</v>
      </c>
      <c r="I1219">
        <v>39.200000000000003</v>
      </c>
      <c r="J1219" s="3">
        <v>50</v>
      </c>
      <c r="K1219" t="s">
        <v>2557</v>
      </c>
      <c r="L1219" t="s">
        <v>2891</v>
      </c>
      <c r="M1219" s="4">
        <v>0.36</v>
      </c>
      <c r="N1219" s="4">
        <v>0.31</v>
      </c>
    </row>
    <row r="1220" spans="1:14" x14ac:dyDescent="0.4">
      <c r="A1220">
        <v>1219</v>
      </c>
      <c r="B1220">
        <v>2013</v>
      </c>
      <c r="C1220" t="s">
        <v>2892</v>
      </c>
      <c r="D1220" t="str">
        <f>HYPERLINK("https://ota.tournamentsoftware.com/player-profile/B2759B21-5521-4528-9454-D7FF201653DE", "Link")</f>
        <v>Link</v>
      </c>
      <c r="E1220" s="2">
        <v>4</v>
      </c>
      <c r="F1220" s="3">
        <v>1</v>
      </c>
      <c r="G1220" t="s">
        <v>20</v>
      </c>
      <c r="H1220" t="s">
        <v>16</v>
      </c>
      <c r="I1220" t="s">
        <v>48</v>
      </c>
      <c r="J1220" s="3">
        <v>3</v>
      </c>
      <c r="K1220" t="s">
        <v>1721</v>
      </c>
      <c r="L1220" t="s">
        <v>31</v>
      </c>
      <c r="M1220" s="4">
        <v>0</v>
      </c>
      <c r="N1220" s="4">
        <v>0</v>
      </c>
    </row>
    <row r="1221" spans="1:14" x14ac:dyDescent="0.4">
      <c r="A1221">
        <v>1219</v>
      </c>
      <c r="B1221">
        <v>2014</v>
      </c>
      <c r="C1221" t="s">
        <v>2893</v>
      </c>
      <c r="D1221" t="str">
        <f>HYPERLINK("https://ota.tournamentsoftware.com/player-profile/388D9D37-AB69-4888-AB07-C709FC6BB450", "Link")</f>
        <v>Link</v>
      </c>
      <c r="E1221" s="2">
        <v>4</v>
      </c>
      <c r="F1221" s="3">
        <v>1</v>
      </c>
      <c r="G1221" t="s">
        <v>20</v>
      </c>
      <c r="H1221" t="s">
        <v>919</v>
      </c>
      <c r="I1221" t="s">
        <v>48</v>
      </c>
      <c r="J1221" s="3">
        <v>3</v>
      </c>
      <c r="K1221" t="s">
        <v>1721</v>
      </c>
      <c r="L1221" t="s">
        <v>31</v>
      </c>
      <c r="M1221" s="4">
        <v>0</v>
      </c>
      <c r="N1221" s="4">
        <v>0</v>
      </c>
    </row>
    <row r="1222" spans="1:14" x14ac:dyDescent="0.4">
      <c r="A1222">
        <v>1219</v>
      </c>
      <c r="B1222">
        <v>2014</v>
      </c>
      <c r="C1222" t="s">
        <v>2894</v>
      </c>
      <c r="D1222" t="str">
        <f>HYPERLINK("https://ota.tournamentsoftware.com/player-profile/264F2E7F-0F8D-4B4E-875F-FAAFDB4E9D43", "Link")</f>
        <v>Link</v>
      </c>
      <c r="E1222" s="2">
        <v>4</v>
      </c>
      <c r="F1222" s="3">
        <v>1</v>
      </c>
      <c r="G1222" t="s">
        <v>20</v>
      </c>
      <c r="H1222" t="s">
        <v>919</v>
      </c>
      <c r="I1222">
        <v>38.6</v>
      </c>
      <c r="J1222" s="3">
        <v>17</v>
      </c>
      <c r="K1222" t="s">
        <v>1251</v>
      </c>
      <c r="L1222" t="s">
        <v>892</v>
      </c>
      <c r="M1222" s="4">
        <v>0.35</v>
      </c>
      <c r="N1222" s="4">
        <v>0.5</v>
      </c>
    </row>
    <row r="1223" spans="1:14" x14ac:dyDescent="0.4">
      <c r="A1223">
        <v>1222</v>
      </c>
      <c r="B1223">
        <v>2016</v>
      </c>
      <c r="C1223" t="s">
        <v>2895</v>
      </c>
      <c r="D1223" t="str">
        <f>HYPERLINK("https://ota.tournamentsoftware.com/player-profile/3031CAE1-D7FD-42C8-B04F-2247B30476FE", "Link")</f>
        <v>Link</v>
      </c>
      <c r="E1223" s="2">
        <v>3.931</v>
      </c>
      <c r="F1223" s="3">
        <v>3</v>
      </c>
      <c r="G1223" t="s">
        <v>109</v>
      </c>
      <c r="H1223" t="s">
        <v>387</v>
      </c>
      <c r="I1223">
        <v>38.299999999999997</v>
      </c>
      <c r="J1223" s="3">
        <v>30</v>
      </c>
      <c r="K1223" t="s">
        <v>976</v>
      </c>
      <c r="L1223" t="s">
        <v>1758</v>
      </c>
      <c r="M1223" s="4">
        <v>0.4</v>
      </c>
      <c r="N1223" s="4">
        <v>0.46</v>
      </c>
    </row>
    <row r="1224" spans="1:14" x14ac:dyDescent="0.4">
      <c r="A1224">
        <v>1223</v>
      </c>
      <c r="B1224">
        <v>2013</v>
      </c>
      <c r="C1224" t="s">
        <v>2896</v>
      </c>
      <c r="D1224" t="str">
        <f>HYPERLINK("https://ota.tournamentsoftware.com/player-profile/00D388D4-0B24-4339-9B51-BDB96207A30D", "Link")</f>
        <v>Link</v>
      </c>
      <c r="E1224" s="2">
        <v>3.8889999999999998</v>
      </c>
      <c r="F1224" s="3">
        <v>3</v>
      </c>
      <c r="G1224" t="s">
        <v>109</v>
      </c>
      <c r="H1224" t="s">
        <v>2604</v>
      </c>
      <c r="I1224">
        <v>37.1</v>
      </c>
      <c r="J1224" s="3">
        <v>51</v>
      </c>
      <c r="K1224" t="s">
        <v>2897</v>
      </c>
      <c r="L1224" t="s">
        <v>1433</v>
      </c>
      <c r="M1224" s="4">
        <v>0.25</v>
      </c>
      <c r="N1224" s="4">
        <v>0.38</v>
      </c>
    </row>
    <row r="1225" spans="1:14" x14ac:dyDescent="0.4">
      <c r="A1225">
        <v>1224</v>
      </c>
      <c r="B1225">
        <v>2015</v>
      </c>
      <c r="C1225" t="s">
        <v>2898</v>
      </c>
      <c r="D1225" t="str">
        <f>HYPERLINK("https://ota.tournamentsoftware.com/player-profile/50FA5A17-1808-42C0-B8C3-34766E9151A2", "Link")</f>
        <v>Link</v>
      </c>
      <c r="E1225" s="2">
        <v>3.8879999999999999</v>
      </c>
      <c r="F1225" s="3">
        <v>1</v>
      </c>
      <c r="G1225" t="s">
        <v>29</v>
      </c>
      <c r="H1225" t="s">
        <v>374</v>
      </c>
      <c r="I1225" t="s">
        <v>48</v>
      </c>
      <c r="J1225" s="3">
        <v>44</v>
      </c>
      <c r="K1225" t="s">
        <v>2899</v>
      </c>
      <c r="L1225" t="s">
        <v>1554</v>
      </c>
      <c r="M1225" s="4">
        <v>0.32</v>
      </c>
      <c r="N1225" s="4">
        <v>0.33</v>
      </c>
    </row>
    <row r="1226" spans="1:14" x14ac:dyDescent="0.4">
      <c r="A1226">
        <v>1224</v>
      </c>
      <c r="B1226">
        <v>2017</v>
      </c>
      <c r="C1226" t="s">
        <v>2900</v>
      </c>
      <c r="D1226" t="str">
        <f>HYPERLINK("https://ota.tournamentsoftware.com/player-profile/7133F3A1-6724-4B35-BBF9-2DFB20E0D933", "Link")</f>
        <v>Link</v>
      </c>
      <c r="E1226" s="2">
        <v>3.8879999999999999</v>
      </c>
      <c r="F1226" s="3">
        <v>3</v>
      </c>
      <c r="G1226" t="s">
        <v>109</v>
      </c>
      <c r="H1226" t="s">
        <v>16</v>
      </c>
      <c r="I1226">
        <v>38.1</v>
      </c>
      <c r="J1226" s="3">
        <v>65</v>
      </c>
      <c r="K1226" t="s">
        <v>2901</v>
      </c>
      <c r="L1226" t="s">
        <v>2727</v>
      </c>
      <c r="M1226" s="4">
        <v>0.49</v>
      </c>
      <c r="N1226" s="4">
        <v>0.56000000000000005</v>
      </c>
    </row>
    <row r="1227" spans="1:14" x14ac:dyDescent="0.4">
      <c r="A1227">
        <v>1224</v>
      </c>
      <c r="B1227">
        <v>2015</v>
      </c>
      <c r="C1227" t="s">
        <v>2902</v>
      </c>
      <c r="D1227" t="str">
        <f>HYPERLINK("https://ota.tournamentsoftware.com/player-profile/71DEE53D-92D1-4C5D-A9AE-0F02860DD189", "Link")</f>
        <v>Link</v>
      </c>
      <c r="E1227" s="2">
        <v>3.8879999999999999</v>
      </c>
      <c r="F1227" s="3">
        <v>1</v>
      </c>
      <c r="G1227" t="s">
        <v>29</v>
      </c>
      <c r="H1227" t="s">
        <v>2903</v>
      </c>
      <c r="I1227">
        <v>37.6</v>
      </c>
      <c r="J1227" s="3">
        <v>14</v>
      </c>
      <c r="K1227" t="s">
        <v>2013</v>
      </c>
      <c r="L1227" t="s">
        <v>1524</v>
      </c>
      <c r="M1227" s="4">
        <v>0</v>
      </c>
      <c r="N1227" s="4">
        <v>0</v>
      </c>
    </row>
    <row r="1228" spans="1:14" x14ac:dyDescent="0.4">
      <c r="A1228">
        <v>1224</v>
      </c>
      <c r="B1228">
        <v>2015</v>
      </c>
      <c r="C1228" t="s">
        <v>2904</v>
      </c>
      <c r="D1228" t="str">
        <f>HYPERLINK("https://ota.tournamentsoftware.com/player-profile/9025A036-DFDA-4A69-B03F-EEE43D14A3C3", "Link")</f>
        <v>Link</v>
      </c>
      <c r="E1228" s="2">
        <v>3.8879999999999999</v>
      </c>
      <c r="F1228" s="3">
        <v>1</v>
      </c>
      <c r="G1228" t="s">
        <v>29</v>
      </c>
      <c r="H1228" t="s">
        <v>2905</v>
      </c>
      <c r="I1228">
        <v>39.5</v>
      </c>
      <c r="J1228" s="3">
        <v>2</v>
      </c>
      <c r="K1228" t="s">
        <v>1524</v>
      </c>
      <c r="L1228" t="s">
        <v>1524</v>
      </c>
      <c r="M1228" s="4">
        <v>0</v>
      </c>
      <c r="N1228" s="4">
        <v>0</v>
      </c>
    </row>
    <row r="1229" spans="1:14" x14ac:dyDescent="0.4">
      <c r="A1229">
        <v>1224</v>
      </c>
      <c r="B1229">
        <v>2016</v>
      </c>
      <c r="C1229" t="s">
        <v>2906</v>
      </c>
      <c r="D1229" t="str">
        <f>HYPERLINK("https://ota.tournamentsoftware.com/player-profile/49C2723D-DBBA-48CA-B20D-69A550E45FB4", "Link")</f>
        <v>Link</v>
      </c>
      <c r="E1229" s="2">
        <v>3.8879999999999999</v>
      </c>
      <c r="F1229" s="3">
        <v>2</v>
      </c>
      <c r="G1229" t="s">
        <v>29</v>
      </c>
      <c r="H1229" t="s">
        <v>141</v>
      </c>
      <c r="I1229" t="s">
        <v>48</v>
      </c>
      <c r="J1229" s="3">
        <v>19</v>
      </c>
      <c r="K1229" t="s">
        <v>171</v>
      </c>
      <c r="L1229" t="s">
        <v>171</v>
      </c>
      <c r="M1229" s="4">
        <v>0.68</v>
      </c>
      <c r="N1229" s="4">
        <v>0.68</v>
      </c>
    </row>
    <row r="1230" spans="1:14" x14ac:dyDescent="0.4">
      <c r="A1230">
        <v>1224</v>
      </c>
      <c r="B1230">
        <v>2014</v>
      </c>
      <c r="C1230" t="s">
        <v>2907</v>
      </c>
      <c r="D1230" t="str">
        <f>HYPERLINK("https://ota.tournamentsoftware.com/player-profile/E6571B14-6651-4CD3-A420-8263947DBA1E", "Link")</f>
        <v>Link</v>
      </c>
      <c r="E1230" s="2">
        <v>3.8879999999999999</v>
      </c>
      <c r="F1230" s="3">
        <v>1</v>
      </c>
      <c r="G1230" t="s">
        <v>20</v>
      </c>
      <c r="H1230" t="s">
        <v>1869</v>
      </c>
      <c r="I1230">
        <v>38.6</v>
      </c>
      <c r="J1230" s="3">
        <v>10</v>
      </c>
      <c r="K1230" t="s">
        <v>1775</v>
      </c>
      <c r="L1230" t="s">
        <v>1407</v>
      </c>
      <c r="M1230" s="4">
        <v>0.5</v>
      </c>
      <c r="N1230" s="4">
        <v>0.5</v>
      </c>
    </row>
    <row r="1231" spans="1:14" x14ac:dyDescent="0.4">
      <c r="A1231">
        <v>1224</v>
      </c>
      <c r="B1231">
        <v>2013</v>
      </c>
      <c r="C1231" t="s">
        <v>2908</v>
      </c>
      <c r="D1231" t="str">
        <f>HYPERLINK("https://ota.tournamentsoftware.com/player-profile/71495656-F9AD-402C-B368-62609F5D70B9", "Link")</f>
        <v>Link</v>
      </c>
      <c r="E1231" s="2">
        <v>3.8879999999999999</v>
      </c>
      <c r="F1231" s="3">
        <v>1</v>
      </c>
      <c r="G1231" t="s">
        <v>20</v>
      </c>
      <c r="H1231" t="s">
        <v>226</v>
      </c>
      <c r="I1231" t="s">
        <v>48</v>
      </c>
      <c r="J1231" s="3">
        <v>29</v>
      </c>
      <c r="K1231" t="s">
        <v>746</v>
      </c>
      <c r="L1231" t="s">
        <v>1240</v>
      </c>
      <c r="M1231" s="4">
        <v>0.34</v>
      </c>
      <c r="N1231" s="4">
        <v>0.5</v>
      </c>
    </row>
    <row r="1232" spans="1:14" x14ac:dyDescent="0.4">
      <c r="A1232">
        <v>1231</v>
      </c>
      <c r="B1232">
        <v>2014</v>
      </c>
      <c r="C1232" t="s">
        <v>2909</v>
      </c>
      <c r="D1232" t="str">
        <f>HYPERLINK("https://ota.tournamentsoftware.com/player-profile/B96926BC-0825-4914-B6C7-E7906E4AC960", "Link")</f>
        <v>Link</v>
      </c>
      <c r="E1232" s="2">
        <v>3.8450000000000002</v>
      </c>
      <c r="F1232" s="3">
        <v>5</v>
      </c>
      <c r="G1232" t="s">
        <v>109</v>
      </c>
      <c r="H1232" t="s">
        <v>281</v>
      </c>
      <c r="I1232" t="s">
        <v>48</v>
      </c>
      <c r="J1232" s="3">
        <v>11</v>
      </c>
      <c r="K1232" t="s">
        <v>1147</v>
      </c>
      <c r="L1232" t="s">
        <v>1147</v>
      </c>
      <c r="M1232" s="4">
        <v>0.36</v>
      </c>
      <c r="N1232" s="4">
        <v>0.36</v>
      </c>
    </row>
    <row r="1233" spans="1:14" x14ac:dyDescent="0.4">
      <c r="A1233">
        <v>1232</v>
      </c>
      <c r="B1233">
        <v>2014</v>
      </c>
      <c r="C1233" t="s">
        <v>2910</v>
      </c>
      <c r="D1233" t="str">
        <f>HYPERLINK("https://ota.tournamentsoftware.com/player-profile/F8A85050-87CB-4D78-BB4D-4D11F0D18229", "Link")</f>
        <v>Link</v>
      </c>
      <c r="E1233" s="2">
        <v>3.806</v>
      </c>
      <c r="F1233" s="3">
        <v>1</v>
      </c>
      <c r="G1233" t="s">
        <v>29</v>
      </c>
      <c r="H1233" t="s">
        <v>353</v>
      </c>
      <c r="I1233">
        <v>39.299999999999997</v>
      </c>
      <c r="J1233" s="3">
        <v>5</v>
      </c>
      <c r="K1233" t="s">
        <v>2125</v>
      </c>
      <c r="L1233" t="s">
        <v>31</v>
      </c>
      <c r="M1233" s="4">
        <v>0</v>
      </c>
      <c r="N1233" s="4">
        <v>0</v>
      </c>
    </row>
    <row r="1234" spans="1:14" x14ac:dyDescent="0.4">
      <c r="A1234">
        <v>1233</v>
      </c>
      <c r="B1234">
        <v>2015</v>
      </c>
      <c r="C1234" t="s">
        <v>2911</v>
      </c>
      <c r="D1234" t="str">
        <f>HYPERLINK("https://ota.tournamentsoftware.com/player-profile/C90206C3-DC6E-4BE3-938F-C8608F20CDD6", "Link")</f>
        <v>Link</v>
      </c>
      <c r="E1234" s="2">
        <v>3.758</v>
      </c>
      <c r="F1234" s="3">
        <v>1</v>
      </c>
      <c r="G1234" t="s">
        <v>25</v>
      </c>
      <c r="H1234" t="s">
        <v>16</v>
      </c>
      <c r="I1234" t="s">
        <v>48</v>
      </c>
      <c r="J1234" s="3">
        <v>0</v>
      </c>
      <c r="K1234" t="s">
        <v>31</v>
      </c>
      <c r="L1234" t="s">
        <v>31</v>
      </c>
      <c r="M1234" s="4">
        <v>0</v>
      </c>
      <c r="N1234" s="4">
        <v>0</v>
      </c>
    </row>
    <row r="1235" spans="1:14" x14ac:dyDescent="0.4">
      <c r="A1235">
        <v>1233</v>
      </c>
      <c r="B1235">
        <v>2014</v>
      </c>
      <c r="C1235" t="s">
        <v>2912</v>
      </c>
      <c r="D1235" t="str">
        <f>HYPERLINK("https://ota.tournamentsoftware.com/player-profile/930A92EC-BBE2-40FD-8684-CB6F18EAD19A", "Link")</f>
        <v>Link</v>
      </c>
      <c r="E1235" s="2">
        <v>3.758</v>
      </c>
      <c r="F1235" s="3">
        <v>5</v>
      </c>
      <c r="G1235" t="s">
        <v>25</v>
      </c>
      <c r="H1235" t="s">
        <v>754</v>
      </c>
      <c r="I1235">
        <v>39.6</v>
      </c>
      <c r="J1235" s="3">
        <v>6</v>
      </c>
      <c r="K1235" t="s">
        <v>1697</v>
      </c>
      <c r="L1235" t="s">
        <v>879</v>
      </c>
      <c r="M1235" s="4">
        <v>0</v>
      </c>
      <c r="N1235" s="4">
        <v>0</v>
      </c>
    </row>
    <row r="1236" spans="1:14" x14ac:dyDescent="0.4">
      <c r="A1236">
        <v>1235</v>
      </c>
      <c r="B1236">
        <v>2013</v>
      </c>
      <c r="C1236" t="s">
        <v>2913</v>
      </c>
      <c r="D1236" t="str">
        <f>HYPERLINK("https://ota.tournamentsoftware.com/player-profile/557E4D67-D9E9-47B3-800F-DB2194C8FCA3", "Link")</f>
        <v>Link</v>
      </c>
      <c r="E1236" s="2">
        <v>3.629</v>
      </c>
      <c r="F1236" s="3">
        <v>2</v>
      </c>
      <c r="G1236" t="s">
        <v>109</v>
      </c>
      <c r="H1236" t="s">
        <v>16</v>
      </c>
      <c r="I1236" t="s">
        <v>48</v>
      </c>
      <c r="J1236" s="3">
        <v>3</v>
      </c>
      <c r="K1236" t="s">
        <v>1721</v>
      </c>
      <c r="L1236" t="s">
        <v>1721</v>
      </c>
      <c r="M1236" s="4">
        <v>0</v>
      </c>
      <c r="N1236" s="4">
        <v>0</v>
      </c>
    </row>
    <row r="1237" spans="1:14" x14ac:dyDescent="0.4">
      <c r="A1237">
        <v>1235</v>
      </c>
      <c r="B1237">
        <v>2014</v>
      </c>
      <c r="C1237" t="s">
        <v>2914</v>
      </c>
      <c r="D1237" t="str">
        <f>HYPERLINK("https://ota.tournamentsoftware.com/player-profile/1777FA49-1C9D-4D7D-AF29-8B5B024F1F30", "Link")</f>
        <v>Link</v>
      </c>
      <c r="E1237" s="2">
        <v>3.629</v>
      </c>
      <c r="F1237" s="3">
        <v>1</v>
      </c>
      <c r="G1237" t="s">
        <v>29</v>
      </c>
      <c r="H1237" t="s">
        <v>199</v>
      </c>
      <c r="I1237" t="s">
        <v>48</v>
      </c>
      <c r="J1237" s="3">
        <v>8</v>
      </c>
      <c r="K1237" t="s">
        <v>1433</v>
      </c>
      <c r="L1237" t="s">
        <v>1407</v>
      </c>
      <c r="M1237" s="4">
        <v>0.38</v>
      </c>
      <c r="N1237" s="4">
        <v>0.5</v>
      </c>
    </row>
    <row r="1238" spans="1:14" x14ac:dyDescent="0.4">
      <c r="A1238">
        <v>1235</v>
      </c>
      <c r="B1238">
        <v>2014</v>
      </c>
      <c r="C1238" t="s">
        <v>2915</v>
      </c>
      <c r="D1238" t="str">
        <f>HYPERLINK("https://ota.tournamentsoftware.com/player-profile/48CDC473-6B50-4781-BB3F-2B72F12C6320", "Link")</f>
        <v>Link</v>
      </c>
      <c r="E1238" s="2">
        <v>3.629</v>
      </c>
      <c r="F1238" s="3">
        <v>1</v>
      </c>
      <c r="G1238" t="s">
        <v>29</v>
      </c>
      <c r="H1238" t="s">
        <v>2916</v>
      </c>
      <c r="I1238">
        <v>39.1</v>
      </c>
      <c r="J1238" s="3">
        <v>26</v>
      </c>
      <c r="K1238" t="s">
        <v>2917</v>
      </c>
      <c r="L1238" t="s">
        <v>1721</v>
      </c>
      <c r="M1238" s="4">
        <v>0.08</v>
      </c>
      <c r="N1238" s="4">
        <v>0</v>
      </c>
    </row>
    <row r="1239" spans="1:14" x14ac:dyDescent="0.4">
      <c r="A1239">
        <v>1238</v>
      </c>
      <c r="B1239">
        <v>2015</v>
      </c>
      <c r="C1239" t="s">
        <v>2918</v>
      </c>
      <c r="D1239" t="str">
        <f>HYPERLINK("https://ota.tournamentsoftware.com/player-profile/DC3DBF03-8EF5-4959-B08E-EE226DB25DE6", "Link")</f>
        <v>Link</v>
      </c>
      <c r="E1239" s="2">
        <v>3.4710000000000001</v>
      </c>
      <c r="F1239" s="3">
        <v>1</v>
      </c>
      <c r="G1239" t="s">
        <v>25</v>
      </c>
      <c r="H1239" t="s">
        <v>60</v>
      </c>
      <c r="I1239" t="s">
        <v>48</v>
      </c>
      <c r="J1239" s="3">
        <v>2</v>
      </c>
      <c r="K1239" t="s">
        <v>1524</v>
      </c>
      <c r="L1239" t="s">
        <v>1524</v>
      </c>
      <c r="M1239" s="4">
        <v>0</v>
      </c>
      <c r="N1239" s="4">
        <v>0</v>
      </c>
    </row>
    <row r="1240" spans="1:14" x14ac:dyDescent="0.4">
      <c r="A1240">
        <v>1239</v>
      </c>
      <c r="B1240">
        <v>2012</v>
      </c>
      <c r="C1240" t="s">
        <v>2919</v>
      </c>
      <c r="D1240" t="str">
        <f>HYPERLINK("https://ota.tournamentsoftware.com/player-profile/A4FFA0A4-EAE7-43E6-AF92-E22114BE5D8B", "Link")</f>
        <v>Link</v>
      </c>
      <c r="E1240" s="2">
        <v>3.4209999999999998</v>
      </c>
      <c r="F1240" s="3">
        <v>2</v>
      </c>
      <c r="G1240" t="s">
        <v>109</v>
      </c>
      <c r="H1240" t="s">
        <v>2681</v>
      </c>
      <c r="I1240">
        <v>38.799999999999997</v>
      </c>
      <c r="J1240" s="3">
        <v>28</v>
      </c>
      <c r="K1240" t="s">
        <v>2920</v>
      </c>
      <c r="L1240" t="s">
        <v>1524</v>
      </c>
      <c r="M1240" s="4">
        <v>0.21</v>
      </c>
      <c r="N1240" s="4">
        <v>0</v>
      </c>
    </row>
    <row r="1241" spans="1:14" x14ac:dyDescent="0.4">
      <c r="A1241">
        <v>1240</v>
      </c>
      <c r="B1241">
        <v>2015</v>
      </c>
      <c r="C1241" t="s">
        <v>2921</v>
      </c>
      <c r="D1241" t="str">
        <f>HYPERLINK("https://ota.tournamentsoftware.com/player-profile/44B25337-8306-4D62-BB4F-8BAB0C726BA7", "Link")</f>
        <v>Link</v>
      </c>
      <c r="E1241" s="2">
        <v>3.3260000000000001</v>
      </c>
      <c r="F1241" s="3">
        <v>4</v>
      </c>
      <c r="G1241" t="s">
        <v>109</v>
      </c>
      <c r="H1241" t="s">
        <v>110</v>
      </c>
      <c r="I1241" t="s">
        <v>48</v>
      </c>
      <c r="J1241" s="3">
        <v>25</v>
      </c>
      <c r="K1241" t="s">
        <v>1823</v>
      </c>
      <c r="L1241" t="s">
        <v>1097</v>
      </c>
      <c r="M1241" s="4">
        <v>0.24</v>
      </c>
      <c r="N1241" s="4">
        <v>0.36</v>
      </c>
    </row>
    <row r="1242" spans="1:14" x14ac:dyDescent="0.4">
      <c r="A1242">
        <v>1241</v>
      </c>
      <c r="B1242">
        <v>2016</v>
      </c>
      <c r="C1242" t="s">
        <v>2922</v>
      </c>
      <c r="D1242" t="str">
        <f>HYPERLINK("https://ota.tournamentsoftware.com/player-profile/E6E9780C-ACDE-4CFD-B134-4984C266BCEB", "Link")</f>
        <v>Link</v>
      </c>
      <c r="E1242" s="2">
        <v>3.24</v>
      </c>
      <c r="F1242" s="3">
        <v>4</v>
      </c>
      <c r="G1242" t="s">
        <v>20</v>
      </c>
      <c r="H1242" t="s">
        <v>809</v>
      </c>
      <c r="I1242">
        <v>40</v>
      </c>
      <c r="J1242" s="3">
        <v>73</v>
      </c>
      <c r="K1242" t="s">
        <v>2923</v>
      </c>
      <c r="L1242" t="s">
        <v>2006</v>
      </c>
      <c r="M1242" s="4">
        <v>0.57999999999999996</v>
      </c>
      <c r="N1242" s="4">
        <v>0.46</v>
      </c>
    </row>
    <row r="1243" spans="1:14" x14ac:dyDescent="0.4">
      <c r="A1243">
        <v>1241</v>
      </c>
      <c r="B1243">
        <v>2015</v>
      </c>
      <c r="C1243" t="s">
        <v>2924</v>
      </c>
      <c r="D1243" t="str">
        <f>HYPERLINK("https://ota.tournamentsoftware.com/player-profile/BAEC89E7-F54C-49F7-AA56-227606797D02", "Link")</f>
        <v>Link</v>
      </c>
      <c r="E1243" s="2">
        <v>3.24</v>
      </c>
      <c r="F1243" s="3">
        <v>3</v>
      </c>
      <c r="G1243" t="s">
        <v>109</v>
      </c>
      <c r="H1243" t="s">
        <v>110</v>
      </c>
      <c r="I1243">
        <v>40</v>
      </c>
      <c r="J1243" s="3">
        <v>40</v>
      </c>
      <c r="K1243" t="s">
        <v>631</v>
      </c>
      <c r="L1243" t="s">
        <v>914</v>
      </c>
      <c r="M1243" s="4">
        <v>0.45</v>
      </c>
      <c r="N1243" s="4">
        <v>0.53</v>
      </c>
    </row>
    <row r="1244" spans="1:14" x14ac:dyDescent="0.4">
      <c r="A1244">
        <v>1241</v>
      </c>
      <c r="B1244">
        <v>2016</v>
      </c>
      <c r="C1244" t="s">
        <v>2925</v>
      </c>
      <c r="D1244" t="str">
        <f>HYPERLINK("https://ota.tournamentsoftware.com/player-profile/468B6432-F842-48F8-9A02-3A80761D962B", "Link")</f>
        <v>Link</v>
      </c>
      <c r="E1244" s="2">
        <v>3.24</v>
      </c>
      <c r="F1244" s="3">
        <v>1</v>
      </c>
      <c r="G1244" t="s">
        <v>20</v>
      </c>
      <c r="H1244" t="s">
        <v>21</v>
      </c>
      <c r="I1244">
        <v>38.1</v>
      </c>
      <c r="J1244" s="3">
        <v>33</v>
      </c>
      <c r="K1244" t="s">
        <v>2926</v>
      </c>
      <c r="L1244" t="s">
        <v>1243</v>
      </c>
      <c r="M1244" s="4">
        <v>0.3</v>
      </c>
      <c r="N1244" s="4">
        <v>0.4</v>
      </c>
    </row>
    <row r="1245" spans="1:14" x14ac:dyDescent="0.4">
      <c r="A1245">
        <v>1244</v>
      </c>
      <c r="B1245">
        <v>2014</v>
      </c>
      <c r="C1245" t="s">
        <v>2927</v>
      </c>
      <c r="D1245" t="str">
        <f>HYPERLINK("https://ota.tournamentsoftware.com/player-profile/89293F3A-9DD8-44F1-B165-EB1978E7BEF9", "Link")</f>
        <v>Link</v>
      </c>
      <c r="E1245" s="2">
        <v>3.0979999999999999</v>
      </c>
      <c r="F1245" s="3">
        <v>1</v>
      </c>
      <c r="G1245" t="s">
        <v>20</v>
      </c>
      <c r="H1245" t="s">
        <v>809</v>
      </c>
      <c r="I1245">
        <v>39.1</v>
      </c>
      <c r="J1245" s="3">
        <v>8</v>
      </c>
      <c r="K1245" t="s">
        <v>1324</v>
      </c>
      <c r="L1245" t="s">
        <v>1524</v>
      </c>
      <c r="M1245" s="4">
        <v>0.12</v>
      </c>
      <c r="N1245" s="4">
        <v>0</v>
      </c>
    </row>
    <row r="1246" spans="1:14" x14ac:dyDescent="0.4">
      <c r="A1246">
        <v>1244</v>
      </c>
      <c r="B1246">
        <v>2014</v>
      </c>
      <c r="C1246" t="s">
        <v>2928</v>
      </c>
      <c r="D1246" t="str">
        <f>HYPERLINK("https://ota.tournamentsoftware.com/player-profile/5E30A7A6-4E75-4094-9C50-E36BC2D57510", "Link")</f>
        <v>Link</v>
      </c>
      <c r="E1246" s="2">
        <v>3.0979999999999999</v>
      </c>
      <c r="F1246" s="3">
        <v>1</v>
      </c>
      <c r="G1246" t="s">
        <v>20</v>
      </c>
      <c r="H1246" t="s">
        <v>16</v>
      </c>
      <c r="I1246">
        <v>39.700000000000003</v>
      </c>
      <c r="J1246" s="3">
        <v>15</v>
      </c>
      <c r="K1246" t="s">
        <v>1057</v>
      </c>
      <c r="L1246" t="s">
        <v>1524</v>
      </c>
      <c r="M1246" s="4">
        <v>0.47</v>
      </c>
      <c r="N1246" s="4">
        <v>0</v>
      </c>
    </row>
    <row r="1247" spans="1:14" x14ac:dyDescent="0.4">
      <c r="A1247">
        <v>1246</v>
      </c>
      <c r="B1247">
        <v>2014</v>
      </c>
      <c r="C1247" t="s">
        <v>2929</v>
      </c>
      <c r="D1247" t="str">
        <f>HYPERLINK("https://ota.tournamentsoftware.com/player-profile/534D64C5-0604-4070-B56D-0E5A49B9F850", "Link")</f>
        <v>Link</v>
      </c>
      <c r="E1247" s="2">
        <v>3.0750000000000002</v>
      </c>
      <c r="F1247" s="3">
        <v>1</v>
      </c>
      <c r="G1247" t="s">
        <v>20</v>
      </c>
      <c r="H1247" t="s">
        <v>919</v>
      </c>
      <c r="I1247" t="s">
        <v>48</v>
      </c>
      <c r="J1247" s="3">
        <v>34</v>
      </c>
      <c r="K1247" t="s">
        <v>1160</v>
      </c>
      <c r="L1247" t="s">
        <v>31</v>
      </c>
      <c r="M1247" s="4">
        <v>0.38</v>
      </c>
      <c r="N1247" s="4">
        <v>0</v>
      </c>
    </row>
    <row r="1248" spans="1:14" x14ac:dyDescent="0.4">
      <c r="A1248">
        <v>1247</v>
      </c>
      <c r="B1248">
        <v>2014</v>
      </c>
      <c r="C1248" t="s">
        <v>2930</v>
      </c>
      <c r="D1248" t="str">
        <f>HYPERLINK("https://ota.tournamentsoftware.com/player-profile/867F5D6A-BB9A-4FEB-A95E-565609563C13", "Link")</f>
        <v>Link</v>
      </c>
      <c r="E1248" s="2">
        <v>2.6179999999999999</v>
      </c>
      <c r="F1248" s="3">
        <v>2</v>
      </c>
      <c r="G1248" t="s">
        <v>109</v>
      </c>
      <c r="H1248" t="s">
        <v>2681</v>
      </c>
      <c r="I1248">
        <v>36.6</v>
      </c>
      <c r="J1248" s="3">
        <v>34</v>
      </c>
      <c r="K1248" t="s">
        <v>2931</v>
      </c>
      <c r="L1248" t="s">
        <v>523</v>
      </c>
      <c r="M1248" s="4">
        <v>0.41</v>
      </c>
      <c r="N1248" s="4">
        <v>0.5</v>
      </c>
    </row>
    <row r="1249" spans="1:14" x14ac:dyDescent="0.4">
      <c r="A1249">
        <v>1248</v>
      </c>
      <c r="B1249">
        <v>2014</v>
      </c>
      <c r="C1249" t="s">
        <v>2932</v>
      </c>
      <c r="D1249" t="str">
        <f>HYPERLINK("https://ota.tournamentsoftware.com/player-profile/67CBECB7-306E-4C07-AB72-7C9F967F74F1", "Link")</f>
        <v>Link</v>
      </c>
      <c r="E1249" s="2">
        <v>2.431</v>
      </c>
      <c r="F1249" s="3">
        <v>2</v>
      </c>
      <c r="G1249" t="s">
        <v>25</v>
      </c>
      <c r="H1249" t="s">
        <v>85</v>
      </c>
      <c r="I1249">
        <v>37.799999999999997</v>
      </c>
      <c r="J1249" s="3">
        <v>3</v>
      </c>
      <c r="K1249" t="s">
        <v>1284</v>
      </c>
      <c r="L1249" t="s">
        <v>1284</v>
      </c>
      <c r="M1249" s="4">
        <v>0.33</v>
      </c>
      <c r="N1249" s="4">
        <v>0.33</v>
      </c>
    </row>
    <row r="1250" spans="1:14" x14ac:dyDescent="0.4">
      <c r="A1250">
        <v>1249</v>
      </c>
      <c r="B1250">
        <v>2014</v>
      </c>
      <c r="C1250" t="s">
        <v>2933</v>
      </c>
      <c r="D1250" t="str">
        <f>HYPERLINK("https://ota.tournamentsoftware.com/player-profile/9FA580FC-05F1-4060-AF06-7AAC23F8ED24", "Link")</f>
        <v>Link</v>
      </c>
      <c r="E1250" s="2">
        <v>2.403</v>
      </c>
      <c r="F1250" s="3">
        <v>1</v>
      </c>
      <c r="G1250" t="s">
        <v>20</v>
      </c>
      <c r="H1250" t="s">
        <v>2452</v>
      </c>
      <c r="I1250">
        <v>39.299999999999997</v>
      </c>
      <c r="J1250" s="3">
        <v>26</v>
      </c>
      <c r="K1250" t="s">
        <v>2934</v>
      </c>
      <c r="L1250" t="s">
        <v>2935</v>
      </c>
      <c r="M1250" s="4">
        <v>0.65</v>
      </c>
      <c r="N1250" s="4">
        <v>0.82</v>
      </c>
    </row>
    <row r="1251" spans="1:14" x14ac:dyDescent="0.4">
      <c r="A1251">
        <v>1249</v>
      </c>
      <c r="B1251">
        <v>2015</v>
      </c>
      <c r="C1251" t="s">
        <v>2936</v>
      </c>
      <c r="D1251" t="str">
        <f>HYPERLINK("https://ota.tournamentsoftware.com/player-profile/F9E336C7-A13D-430E-A056-C66EFFC2A0D5", "Link")</f>
        <v>Link</v>
      </c>
      <c r="E1251" s="2">
        <v>2.403</v>
      </c>
      <c r="F1251" s="3">
        <v>3</v>
      </c>
      <c r="G1251" t="s">
        <v>20</v>
      </c>
      <c r="H1251" t="s">
        <v>2344</v>
      </c>
      <c r="I1251" t="s">
        <v>48</v>
      </c>
      <c r="J1251" s="3">
        <v>36</v>
      </c>
      <c r="K1251" t="s">
        <v>2937</v>
      </c>
      <c r="L1251" t="s">
        <v>1524</v>
      </c>
      <c r="M1251" s="4">
        <v>0.28000000000000003</v>
      </c>
      <c r="N1251" s="4">
        <v>0</v>
      </c>
    </row>
    <row r="1252" spans="1:14" x14ac:dyDescent="0.4">
      <c r="A1252">
        <v>1251</v>
      </c>
      <c r="B1252">
        <v>2015</v>
      </c>
      <c r="C1252" t="s">
        <v>2938</v>
      </c>
      <c r="D1252" t="str">
        <f>HYPERLINK("https://ota.tournamentsoftware.com/player-profile/E41BBBEF-6912-4E0D-BF5C-BBB0CBC74249", "Link")</f>
        <v>Link</v>
      </c>
      <c r="E1252" s="2">
        <v>2.2029999999999998</v>
      </c>
      <c r="F1252" s="3">
        <v>5</v>
      </c>
      <c r="G1252" t="s">
        <v>109</v>
      </c>
      <c r="H1252" t="s">
        <v>281</v>
      </c>
      <c r="I1252">
        <v>39.200000000000003</v>
      </c>
      <c r="J1252" s="3">
        <v>60</v>
      </c>
      <c r="K1252" t="s">
        <v>2939</v>
      </c>
      <c r="L1252" t="s">
        <v>1524</v>
      </c>
      <c r="M1252" s="4">
        <v>0.22</v>
      </c>
      <c r="N1252" s="4">
        <v>0</v>
      </c>
    </row>
    <row r="1253" spans="1:14" x14ac:dyDescent="0.4">
      <c r="A1253">
        <v>1252</v>
      </c>
      <c r="B1253">
        <v>2014</v>
      </c>
      <c r="C1253" t="s">
        <v>2940</v>
      </c>
      <c r="D1253" t="str">
        <f>HYPERLINK("https://ota.tournamentsoftware.com/player-profile/9C9A5A33-4CA6-4975-BDCD-67DA2BA4B2E9", "Link")</f>
        <v>Link</v>
      </c>
      <c r="E1253" s="2">
        <v>2.202</v>
      </c>
      <c r="F1253" s="3">
        <v>3</v>
      </c>
      <c r="G1253" t="s">
        <v>109</v>
      </c>
      <c r="H1253" t="s">
        <v>110</v>
      </c>
      <c r="I1253">
        <v>39.1</v>
      </c>
      <c r="J1253" s="3">
        <v>3</v>
      </c>
      <c r="K1253" t="s">
        <v>1284</v>
      </c>
      <c r="L1253" t="s">
        <v>31</v>
      </c>
      <c r="M1253" s="4">
        <v>0.33</v>
      </c>
      <c r="N1253" s="4">
        <v>0</v>
      </c>
    </row>
    <row r="1254" spans="1:14" x14ac:dyDescent="0.4">
      <c r="A1254">
        <v>1253</v>
      </c>
      <c r="B1254">
        <v>2013</v>
      </c>
      <c r="C1254" t="s">
        <v>2941</v>
      </c>
      <c r="D1254" t="str">
        <f>HYPERLINK("https://ota.tournamentsoftware.com/player-profile/F460E6C2-2456-43C6-B19A-E5695E232448", "Link")</f>
        <v>Link</v>
      </c>
      <c r="E1254" s="2">
        <v>2.16</v>
      </c>
      <c r="F1254" s="3">
        <v>1</v>
      </c>
      <c r="G1254" t="s">
        <v>109</v>
      </c>
      <c r="H1254" t="s">
        <v>16</v>
      </c>
      <c r="I1254" t="s">
        <v>48</v>
      </c>
      <c r="J1254" s="3">
        <v>129</v>
      </c>
      <c r="K1254" t="s">
        <v>2942</v>
      </c>
      <c r="L1254" t="s">
        <v>31</v>
      </c>
      <c r="M1254" s="4">
        <v>0.36</v>
      </c>
      <c r="N1254" s="4">
        <v>0</v>
      </c>
    </row>
    <row r="1255" spans="1:14" x14ac:dyDescent="0.4">
      <c r="A1255">
        <v>1254</v>
      </c>
      <c r="B1255">
        <v>2014</v>
      </c>
      <c r="C1255" t="s">
        <v>2943</v>
      </c>
      <c r="D1255" t="str">
        <f>HYPERLINK("https://ota.tournamentsoftware.com/player-profile/B00B3D37-513A-4ECC-A51C-B74D255D4B87", "Link")</f>
        <v>Link</v>
      </c>
      <c r="E1255" s="2">
        <v>1.944</v>
      </c>
      <c r="F1255" s="3">
        <v>1</v>
      </c>
      <c r="G1255" t="s">
        <v>20</v>
      </c>
      <c r="H1255" t="s">
        <v>2344</v>
      </c>
      <c r="I1255">
        <v>40</v>
      </c>
      <c r="J1255" s="3">
        <v>22</v>
      </c>
      <c r="K1255" t="s">
        <v>939</v>
      </c>
      <c r="L1255" t="s">
        <v>1524</v>
      </c>
      <c r="M1255" s="4">
        <v>0.27</v>
      </c>
      <c r="N1255" s="4">
        <v>0</v>
      </c>
    </row>
    <row r="1256" spans="1:14" x14ac:dyDescent="0.4">
      <c r="A1256">
        <v>1254</v>
      </c>
      <c r="B1256">
        <v>2015</v>
      </c>
      <c r="C1256" t="s">
        <v>2944</v>
      </c>
      <c r="D1256" t="str">
        <f>HYPERLINK("https://ota.tournamentsoftware.com/player-profile/23B3E879-EE71-4CE7-949F-9E08E7F6FDC9", "Link")</f>
        <v>Link</v>
      </c>
      <c r="E1256" s="2">
        <v>1.944</v>
      </c>
      <c r="F1256" s="3">
        <v>3</v>
      </c>
      <c r="G1256" t="s">
        <v>20</v>
      </c>
      <c r="H1256" t="s">
        <v>809</v>
      </c>
      <c r="I1256">
        <v>38.6</v>
      </c>
      <c r="J1256" s="3">
        <v>20</v>
      </c>
      <c r="K1256" t="s">
        <v>2945</v>
      </c>
      <c r="L1256" t="s">
        <v>1524</v>
      </c>
      <c r="M1256" s="4">
        <v>0.25</v>
      </c>
      <c r="N1256" s="4">
        <v>0</v>
      </c>
    </row>
    <row r="1257" spans="1:14" x14ac:dyDescent="0.4">
      <c r="A1257">
        <v>1254</v>
      </c>
      <c r="B1257">
        <v>2014</v>
      </c>
      <c r="C1257" t="s">
        <v>2946</v>
      </c>
      <c r="D1257" t="str">
        <f>HYPERLINK("https://ota.tournamentsoftware.com/player-profile/55E1D175-DCE8-4D75-8FD1-5751D95D94B4", "Link")</f>
        <v>Link</v>
      </c>
      <c r="E1257" s="2">
        <v>1.944</v>
      </c>
      <c r="F1257" s="3">
        <v>1</v>
      </c>
      <c r="G1257" t="s">
        <v>20</v>
      </c>
      <c r="H1257" t="s">
        <v>2344</v>
      </c>
      <c r="I1257">
        <v>40</v>
      </c>
      <c r="J1257" s="3">
        <v>10</v>
      </c>
      <c r="K1257" t="s">
        <v>932</v>
      </c>
      <c r="L1257" t="s">
        <v>1524</v>
      </c>
      <c r="M1257" s="4">
        <v>0.3</v>
      </c>
      <c r="N1257" s="4">
        <v>0</v>
      </c>
    </row>
    <row r="1258" spans="1:14" x14ac:dyDescent="0.4">
      <c r="A1258">
        <v>1254</v>
      </c>
      <c r="B1258">
        <v>2015</v>
      </c>
      <c r="C1258" t="s">
        <v>2947</v>
      </c>
      <c r="D1258" t="str">
        <f>HYPERLINK("https://ota.tournamentsoftware.com/player-profile/604DEB6C-89BC-4F3B-9551-3DD1A6EDA123", "Link")</f>
        <v>Link</v>
      </c>
      <c r="E1258" s="2">
        <v>1.944</v>
      </c>
      <c r="F1258" s="3">
        <v>1</v>
      </c>
      <c r="G1258" t="s">
        <v>20</v>
      </c>
      <c r="H1258" t="s">
        <v>43</v>
      </c>
      <c r="I1258" t="s">
        <v>48</v>
      </c>
      <c r="J1258" s="3">
        <v>24</v>
      </c>
      <c r="K1258" t="s">
        <v>1604</v>
      </c>
      <c r="L1258" t="s">
        <v>879</v>
      </c>
      <c r="M1258" s="4">
        <v>0.42</v>
      </c>
      <c r="N1258" s="4">
        <v>0</v>
      </c>
    </row>
    <row r="1259" spans="1:14" x14ac:dyDescent="0.4">
      <c r="A1259">
        <v>1254</v>
      </c>
      <c r="B1259">
        <v>2015</v>
      </c>
      <c r="C1259" t="s">
        <v>2948</v>
      </c>
      <c r="D1259" t="str">
        <f>HYPERLINK("https://ota.tournamentsoftware.com/player-profile/C52FBED1-1545-45D7-B349-94619F0D1964", "Link")</f>
        <v>Link</v>
      </c>
      <c r="E1259" s="2">
        <v>1.944</v>
      </c>
      <c r="F1259" s="3">
        <v>1</v>
      </c>
      <c r="G1259" t="s">
        <v>20</v>
      </c>
      <c r="H1259" t="s">
        <v>43</v>
      </c>
      <c r="I1259" t="s">
        <v>48</v>
      </c>
      <c r="J1259" s="3">
        <v>61</v>
      </c>
      <c r="K1259" t="s">
        <v>2949</v>
      </c>
      <c r="L1259" t="s">
        <v>2168</v>
      </c>
      <c r="M1259" s="4">
        <v>0.38</v>
      </c>
      <c r="N1259" s="4">
        <v>0.64</v>
      </c>
    </row>
    <row r="1260" spans="1:14" x14ac:dyDescent="0.4">
      <c r="A1260">
        <v>1259</v>
      </c>
      <c r="B1260">
        <v>2015</v>
      </c>
      <c r="C1260" t="s">
        <v>2950</v>
      </c>
      <c r="D1260" t="str">
        <f>HYPERLINK("https://ota.tournamentsoftware.com/player-profile/414AF4D2-2F73-47FD-A175-ED313B178D4A", "Link")</f>
        <v>Link</v>
      </c>
      <c r="E1260" s="2">
        <v>1.7749999999999999</v>
      </c>
      <c r="F1260" s="3">
        <v>2</v>
      </c>
      <c r="G1260" t="s">
        <v>109</v>
      </c>
      <c r="H1260" t="s">
        <v>2888</v>
      </c>
      <c r="I1260">
        <v>40</v>
      </c>
      <c r="J1260" s="3">
        <v>8</v>
      </c>
      <c r="K1260" t="s">
        <v>2195</v>
      </c>
      <c r="L1260" t="s">
        <v>2195</v>
      </c>
      <c r="M1260" s="4">
        <v>0</v>
      </c>
      <c r="N1260" s="4">
        <v>0</v>
      </c>
    </row>
    <row r="1261" spans="1:14" x14ac:dyDescent="0.4">
      <c r="A1261">
        <v>1260</v>
      </c>
      <c r="B1261">
        <v>2015</v>
      </c>
      <c r="C1261" t="s">
        <v>2951</v>
      </c>
      <c r="D1261" t="str">
        <f>HYPERLINK("https://ota.tournamentsoftware.com/player-profile/C69022CE-E2D0-4C4C-8C94-0A7A1657181D", "Link")</f>
        <v>Link</v>
      </c>
      <c r="E1261" s="2">
        <v>1.7390000000000001</v>
      </c>
      <c r="F1261" s="3">
        <v>2</v>
      </c>
      <c r="G1261" t="s">
        <v>109</v>
      </c>
      <c r="H1261" t="s">
        <v>387</v>
      </c>
      <c r="I1261">
        <v>39.1</v>
      </c>
      <c r="J1261" s="3">
        <v>58</v>
      </c>
      <c r="K1261" t="s">
        <v>2952</v>
      </c>
      <c r="L1261" t="s">
        <v>1267</v>
      </c>
      <c r="M1261" s="4">
        <v>0.41</v>
      </c>
      <c r="N1261" s="4">
        <v>0.25</v>
      </c>
    </row>
    <row r="1262" spans="1:14" x14ac:dyDescent="0.4">
      <c r="A1262">
        <v>1261</v>
      </c>
      <c r="B1262">
        <v>2015</v>
      </c>
      <c r="C1262" t="s">
        <v>2953</v>
      </c>
      <c r="D1262" t="str">
        <f>HYPERLINK("https://ota.tournamentsoftware.com/player-profile/43F39E32-9F74-456F-8DC5-58CD313C7E5F", "Link")</f>
        <v>Link</v>
      </c>
      <c r="E1262" s="2">
        <v>1.512</v>
      </c>
      <c r="F1262" s="3">
        <v>1</v>
      </c>
      <c r="G1262" t="s">
        <v>109</v>
      </c>
      <c r="H1262" t="s">
        <v>110</v>
      </c>
      <c r="I1262">
        <v>37.299999999999997</v>
      </c>
      <c r="J1262" s="3">
        <v>37</v>
      </c>
      <c r="K1262" t="s">
        <v>2089</v>
      </c>
      <c r="L1262" t="s">
        <v>625</v>
      </c>
      <c r="M1262" s="4">
        <v>0.32</v>
      </c>
      <c r="N1262" s="4">
        <v>0.5</v>
      </c>
    </row>
    <row r="1263" spans="1:14" x14ac:dyDescent="0.4">
      <c r="A1263">
        <v>1261</v>
      </c>
      <c r="B1263">
        <v>2015</v>
      </c>
      <c r="C1263" t="s">
        <v>2954</v>
      </c>
      <c r="D1263" t="str">
        <f>HYPERLINK("https://ota.tournamentsoftware.com/player-profile/315A4D2D-63EA-4161-B14B-B850BA3784AF", "Link")</f>
        <v>Link</v>
      </c>
      <c r="E1263" s="2">
        <v>1.512</v>
      </c>
      <c r="F1263" s="3">
        <v>1</v>
      </c>
      <c r="G1263" t="s">
        <v>109</v>
      </c>
      <c r="H1263" t="s">
        <v>16</v>
      </c>
      <c r="I1263">
        <v>36.700000000000003</v>
      </c>
      <c r="J1263" s="3">
        <v>17</v>
      </c>
      <c r="K1263" t="s">
        <v>2955</v>
      </c>
      <c r="L1263" t="s">
        <v>2956</v>
      </c>
      <c r="M1263" s="4">
        <v>0.65</v>
      </c>
      <c r="N1263" s="4">
        <v>0.88</v>
      </c>
    </row>
    <row r="1264" spans="1:14" x14ac:dyDescent="0.4">
      <c r="A1264">
        <v>1263</v>
      </c>
      <c r="B1264">
        <v>2015</v>
      </c>
      <c r="C1264" t="s">
        <v>2957</v>
      </c>
      <c r="D1264" t="str">
        <f>HYPERLINK("https://ota.tournamentsoftware.com/player-profile/BB85EE3A-D120-4D12-9084-91A38B09AF2C", "Link")</f>
        <v>Link</v>
      </c>
      <c r="E1264" s="2">
        <v>1.4259999999999999</v>
      </c>
      <c r="F1264" s="3">
        <v>1</v>
      </c>
      <c r="G1264" t="s">
        <v>109</v>
      </c>
      <c r="H1264" t="s">
        <v>1451</v>
      </c>
      <c r="I1264">
        <v>39.5</v>
      </c>
      <c r="J1264" s="3">
        <v>10</v>
      </c>
      <c r="K1264" t="s">
        <v>1858</v>
      </c>
      <c r="L1264" t="s">
        <v>1524</v>
      </c>
      <c r="M1264" s="4">
        <v>0</v>
      </c>
      <c r="N1264" s="4">
        <v>0</v>
      </c>
    </row>
    <row r="1265" spans="1:14" x14ac:dyDescent="0.4">
      <c r="A1265">
        <v>1263</v>
      </c>
      <c r="B1265">
        <v>2015</v>
      </c>
      <c r="C1265" t="s">
        <v>2958</v>
      </c>
      <c r="D1265" t="str">
        <f>HYPERLINK("https://ota.tournamentsoftware.com/player-profile/3265ABF0-65AE-44F0-8F32-63163EC4FE8F", "Link")</f>
        <v>Link</v>
      </c>
      <c r="E1265" s="2">
        <v>1.4259999999999999</v>
      </c>
      <c r="F1265" s="3">
        <v>1</v>
      </c>
      <c r="G1265" t="s">
        <v>109</v>
      </c>
      <c r="H1265" t="s">
        <v>2826</v>
      </c>
      <c r="I1265">
        <v>39.799999999999997</v>
      </c>
      <c r="J1265" s="3">
        <v>22</v>
      </c>
      <c r="K1265" t="s">
        <v>2179</v>
      </c>
      <c r="L1265" t="s">
        <v>1433</v>
      </c>
      <c r="M1265" s="4">
        <v>0.41</v>
      </c>
      <c r="N1265" s="4">
        <v>0.38</v>
      </c>
    </row>
    <row r="1266" spans="1:14" x14ac:dyDescent="0.4">
      <c r="A1266">
        <v>1265</v>
      </c>
      <c r="B1266">
        <v>2013</v>
      </c>
      <c r="C1266" t="s">
        <v>2959</v>
      </c>
      <c r="D1266" t="str">
        <f>HYPERLINK("https://ota.tournamentsoftware.com/player-profile/84D5B790-9C0B-4064-8067-7D45BCFACC7F", "Link")</f>
        <v>Link</v>
      </c>
      <c r="E1266" s="2">
        <v>1.3220000000000001</v>
      </c>
      <c r="F1266" s="3">
        <v>1</v>
      </c>
      <c r="G1266" t="s">
        <v>109</v>
      </c>
      <c r="H1266" t="s">
        <v>2681</v>
      </c>
      <c r="I1266" t="s">
        <v>48</v>
      </c>
      <c r="J1266" s="3">
        <v>2</v>
      </c>
      <c r="K1266" t="s">
        <v>523</v>
      </c>
      <c r="L1266" t="s">
        <v>523</v>
      </c>
      <c r="M1266" s="4">
        <v>0.5</v>
      </c>
      <c r="N1266" s="4">
        <v>0.5</v>
      </c>
    </row>
    <row r="1267" spans="1:14" x14ac:dyDescent="0.4">
      <c r="A1267">
        <v>1265</v>
      </c>
      <c r="B1267">
        <v>2012</v>
      </c>
      <c r="C1267" t="s">
        <v>1930</v>
      </c>
      <c r="D1267" t="str">
        <f>HYPERLINK("https://ota.tournamentsoftware.com/player-profile/1D7FCC9B-08EE-4210-A681-04CBB94829B0", "Link")</f>
        <v>Link</v>
      </c>
      <c r="E1267" s="2">
        <v>1.3220000000000001</v>
      </c>
      <c r="F1267" s="3">
        <v>1</v>
      </c>
      <c r="G1267" t="s">
        <v>109</v>
      </c>
      <c r="H1267" t="s">
        <v>1958</v>
      </c>
      <c r="I1267">
        <v>37.6</v>
      </c>
      <c r="J1267" s="3">
        <v>24</v>
      </c>
      <c r="K1267" t="s">
        <v>1573</v>
      </c>
      <c r="L1267" t="s">
        <v>1284</v>
      </c>
      <c r="M1267" s="4">
        <v>0.25</v>
      </c>
      <c r="N1267" s="4">
        <v>0.33</v>
      </c>
    </row>
    <row r="1268" spans="1:14" x14ac:dyDescent="0.4">
      <c r="A1268">
        <v>1267</v>
      </c>
      <c r="B1268">
        <v>2013</v>
      </c>
      <c r="C1268" t="s">
        <v>2960</v>
      </c>
      <c r="D1268" t="str">
        <f>HYPERLINK("https://ota.tournamentsoftware.com/player-profile/8141EB21-2AAE-464A-981A-1B41AF01ABA8", "Link")</f>
        <v>Link</v>
      </c>
      <c r="E1268" s="2">
        <v>1.0820000000000001</v>
      </c>
      <c r="F1268" s="3">
        <v>1</v>
      </c>
      <c r="G1268" t="s">
        <v>109</v>
      </c>
      <c r="H1268" t="s">
        <v>2681</v>
      </c>
      <c r="I1268">
        <v>39.5</v>
      </c>
      <c r="J1268" s="3">
        <v>2</v>
      </c>
      <c r="K1268" t="s">
        <v>1524</v>
      </c>
      <c r="L1268" t="s">
        <v>1524</v>
      </c>
      <c r="M1268" s="4">
        <v>0</v>
      </c>
      <c r="N1268" s="4">
        <v>0</v>
      </c>
    </row>
    <row r="1269" spans="1:14" x14ac:dyDescent="0.4">
      <c r="A1269">
        <v>1268</v>
      </c>
      <c r="B1269">
        <v>2016</v>
      </c>
      <c r="C1269" t="s">
        <v>2961</v>
      </c>
      <c r="D1269" t="str">
        <f>HYPERLINK("https://ota.tournamentsoftware.com/player-profile/4CC432C1-C671-4758-8365-2BA1C2F50CC6", "Link")</f>
        <v>Link</v>
      </c>
      <c r="E1269" s="2">
        <v>1.0009999999999999</v>
      </c>
      <c r="F1269" s="3">
        <v>2</v>
      </c>
      <c r="G1269" t="s">
        <v>109</v>
      </c>
      <c r="H1269" t="s">
        <v>387</v>
      </c>
      <c r="I1269">
        <v>39.799999999999997</v>
      </c>
      <c r="J1269" s="3">
        <v>54</v>
      </c>
      <c r="K1269" t="s">
        <v>2962</v>
      </c>
      <c r="L1269" t="s">
        <v>1772</v>
      </c>
      <c r="M1269" s="4">
        <v>0.26</v>
      </c>
      <c r="N1269" s="4">
        <v>0.41</v>
      </c>
    </row>
    <row r="1270" spans="1:14" x14ac:dyDescent="0.4">
      <c r="A1270">
        <v>1269</v>
      </c>
      <c r="B1270">
        <v>2017</v>
      </c>
      <c r="C1270" t="s">
        <v>2963</v>
      </c>
      <c r="D1270" t="str">
        <f>HYPERLINK("https://ota.tournamentsoftware.com/player-profile/32E39313-CDF7-41FC-8569-9536594DDDFB", "Link")</f>
        <v>Link</v>
      </c>
      <c r="E1270" s="2">
        <v>0.90700000000000003</v>
      </c>
      <c r="F1270" s="3">
        <v>2</v>
      </c>
      <c r="G1270" t="s">
        <v>109</v>
      </c>
      <c r="H1270" t="s">
        <v>281</v>
      </c>
      <c r="I1270">
        <v>39.9</v>
      </c>
      <c r="J1270" s="3">
        <v>7</v>
      </c>
      <c r="K1270" t="s">
        <v>872</v>
      </c>
      <c r="L1270" t="s">
        <v>872</v>
      </c>
      <c r="M1270" s="4">
        <v>0.28999999999999998</v>
      </c>
      <c r="N1270" s="4">
        <v>0.28999999999999998</v>
      </c>
    </row>
    <row r="1271" spans="1:14" x14ac:dyDescent="0.4">
      <c r="A1271">
        <v>1269</v>
      </c>
      <c r="B1271">
        <v>2014</v>
      </c>
      <c r="C1271" t="s">
        <v>2964</v>
      </c>
      <c r="D1271" t="str">
        <f>HYPERLINK("https://ota.tournamentsoftware.com/player-profile/78F58ED4-C1DE-4C07-B752-2FE61025E07A", "Link")</f>
        <v>Link</v>
      </c>
      <c r="E1271" s="2">
        <v>0.90700000000000003</v>
      </c>
      <c r="F1271" s="3">
        <v>2</v>
      </c>
      <c r="G1271" t="s">
        <v>109</v>
      </c>
      <c r="H1271" t="s">
        <v>16</v>
      </c>
      <c r="I1271">
        <v>39.200000000000003</v>
      </c>
      <c r="J1271" s="3">
        <v>7</v>
      </c>
      <c r="K1271" t="s">
        <v>1303</v>
      </c>
      <c r="L1271" t="s">
        <v>1303</v>
      </c>
      <c r="M1271" s="4">
        <v>0.14000000000000001</v>
      </c>
      <c r="N1271" s="4">
        <v>0.14000000000000001</v>
      </c>
    </row>
    <row r="1272" spans="1:14" x14ac:dyDescent="0.4">
      <c r="A1272">
        <v>1269</v>
      </c>
      <c r="B1272">
        <v>2016</v>
      </c>
      <c r="C1272" t="s">
        <v>2965</v>
      </c>
      <c r="D1272" t="str">
        <f>HYPERLINK("https://ota.tournamentsoftware.com/player-profile/0395BE0C-AC5B-4551-9F90-53EE9DDBFED6", "Link")</f>
        <v>Link</v>
      </c>
      <c r="E1272" s="2">
        <v>0.90700000000000003</v>
      </c>
      <c r="F1272" s="3">
        <v>2</v>
      </c>
      <c r="G1272" t="s">
        <v>109</v>
      </c>
      <c r="H1272" t="s">
        <v>16</v>
      </c>
      <c r="I1272">
        <v>39.200000000000003</v>
      </c>
      <c r="J1272" s="3">
        <v>19</v>
      </c>
      <c r="K1272" t="s">
        <v>2160</v>
      </c>
      <c r="L1272" t="s">
        <v>2966</v>
      </c>
      <c r="M1272" s="4">
        <v>0.47</v>
      </c>
      <c r="N1272" s="4">
        <v>0.44</v>
      </c>
    </row>
    <row r="1273" spans="1:14" x14ac:dyDescent="0.4">
      <c r="A1273">
        <v>1272</v>
      </c>
      <c r="B1273">
        <v>2014</v>
      </c>
      <c r="C1273" t="s">
        <v>2967</v>
      </c>
      <c r="D1273" t="str">
        <f>HYPERLINK("https://ota.tournamentsoftware.com/player-profile/4BCE45CF-F4D8-4218-B8D2-C0F2EE91D2A7", "Link")</f>
        <v>Link</v>
      </c>
      <c r="E1273" s="2">
        <v>0.77800000000000002</v>
      </c>
      <c r="F1273" s="3">
        <v>1</v>
      </c>
      <c r="G1273" t="s">
        <v>109</v>
      </c>
      <c r="H1273" t="s">
        <v>110</v>
      </c>
      <c r="I1273">
        <v>38.299999999999997</v>
      </c>
      <c r="J1273" s="3">
        <v>22</v>
      </c>
      <c r="K1273" t="s">
        <v>2682</v>
      </c>
      <c r="L1273" t="s">
        <v>31</v>
      </c>
      <c r="M1273" s="4">
        <v>0.14000000000000001</v>
      </c>
      <c r="N1273" s="4">
        <v>0</v>
      </c>
    </row>
    <row r="1274" spans="1:14" x14ac:dyDescent="0.4">
      <c r="A1274">
        <v>1273</v>
      </c>
      <c r="B1274">
        <v>2014</v>
      </c>
      <c r="C1274" t="s">
        <v>2968</v>
      </c>
      <c r="D1274" t="str">
        <f>HYPERLINK("https://ota.tournamentsoftware.com/player-profile/6EB9CA55-6698-4613-9881-4D8AFB71AC67", "Link")</f>
        <v>Link</v>
      </c>
      <c r="E1274" s="2">
        <v>0.61499999999999999</v>
      </c>
      <c r="F1274" s="3">
        <v>1</v>
      </c>
      <c r="G1274" t="s">
        <v>109</v>
      </c>
      <c r="H1274" t="s">
        <v>2860</v>
      </c>
      <c r="I1274" t="s">
        <v>48</v>
      </c>
      <c r="J1274" s="3">
        <v>2</v>
      </c>
      <c r="K1274" t="s">
        <v>1524</v>
      </c>
      <c r="L1274" t="s">
        <v>31</v>
      </c>
      <c r="M1274" s="4">
        <v>0</v>
      </c>
      <c r="N1274" s="4">
        <v>0</v>
      </c>
    </row>
    <row r="1275" spans="1:14" x14ac:dyDescent="0.4">
      <c r="A1275">
        <v>1274</v>
      </c>
      <c r="B1275">
        <v>2012</v>
      </c>
      <c r="C1275" t="s">
        <v>2969</v>
      </c>
      <c r="D1275" t="str">
        <f>HYPERLINK("https://ota.tournamentsoftware.com/player-profile/4520B023-1802-460E-AE65-AA3F3D069620", "Link")</f>
        <v>Link</v>
      </c>
      <c r="E1275" s="2">
        <v>0</v>
      </c>
      <c r="F1275" s="3">
        <v>3</v>
      </c>
      <c r="G1275" t="s">
        <v>25</v>
      </c>
      <c r="H1275" t="s">
        <v>289</v>
      </c>
      <c r="I1275">
        <v>36.5</v>
      </c>
      <c r="J1275" s="3">
        <v>47</v>
      </c>
      <c r="K1275" t="s">
        <v>2970</v>
      </c>
      <c r="L1275" t="s">
        <v>31</v>
      </c>
      <c r="M1275" s="4">
        <v>0.32</v>
      </c>
      <c r="N1275" s="4">
        <v>0</v>
      </c>
    </row>
    <row r="1276" spans="1:14" x14ac:dyDescent="0.4">
      <c r="A1276">
        <v>1274</v>
      </c>
      <c r="B1276">
        <v>2011</v>
      </c>
      <c r="C1276" t="s">
        <v>2971</v>
      </c>
      <c r="D1276" t="str">
        <f>HYPERLINK("https://ota.tournamentsoftware.com/player-profile/F40B80B5-5965-4993-8647-E0836A2A7A58", "Link")</f>
        <v>Link</v>
      </c>
      <c r="E1276" s="2">
        <v>0</v>
      </c>
      <c r="F1276" s="3">
        <v>1</v>
      </c>
      <c r="G1276" t="s">
        <v>25</v>
      </c>
      <c r="H1276" t="s">
        <v>182</v>
      </c>
      <c r="I1276">
        <v>32.299999999999997</v>
      </c>
      <c r="J1276" s="3">
        <v>260</v>
      </c>
      <c r="K1276" t="s">
        <v>2972</v>
      </c>
      <c r="L1276" t="s">
        <v>31</v>
      </c>
      <c r="M1276" s="4">
        <v>0.47</v>
      </c>
      <c r="N1276" s="4">
        <v>0</v>
      </c>
    </row>
    <row r="1277" spans="1:14" x14ac:dyDescent="0.4">
      <c r="A1277">
        <v>1274</v>
      </c>
      <c r="B1277">
        <v>2011</v>
      </c>
      <c r="C1277" t="s">
        <v>2973</v>
      </c>
      <c r="D1277" t="str">
        <f>HYPERLINK("https://ota.tournamentsoftware.com/player-profile/D9B91BB4-B42A-4ECC-8422-BD7293809214", "Link")</f>
        <v>Link</v>
      </c>
      <c r="E1277" s="2">
        <v>0</v>
      </c>
      <c r="F1277" s="3">
        <v>9</v>
      </c>
      <c r="I1277">
        <v>25.9</v>
      </c>
      <c r="J1277" s="3">
        <v>185</v>
      </c>
      <c r="K1277" t="s">
        <v>2974</v>
      </c>
      <c r="L1277" t="s">
        <v>31</v>
      </c>
      <c r="M1277" s="4">
        <v>0.51</v>
      </c>
      <c r="N1277" s="4">
        <v>0</v>
      </c>
    </row>
    <row r="1278" spans="1:14" x14ac:dyDescent="0.4">
      <c r="A1278">
        <v>1274</v>
      </c>
      <c r="B1278">
        <v>2013</v>
      </c>
      <c r="C1278" t="s">
        <v>2975</v>
      </c>
      <c r="D1278" t="str">
        <f>HYPERLINK("https://ota.tournamentsoftware.com/player-profile/8C91735C-DF4B-4994-88A2-155C813C74CC", "Link")</f>
        <v>Link</v>
      </c>
      <c r="E1278" s="2">
        <v>0</v>
      </c>
      <c r="F1278" s="3">
        <v>1</v>
      </c>
      <c r="G1278" t="s">
        <v>173</v>
      </c>
      <c r="H1278" t="s">
        <v>174</v>
      </c>
      <c r="I1278">
        <v>27.2</v>
      </c>
      <c r="J1278" s="3">
        <v>196</v>
      </c>
      <c r="K1278" t="s">
        <v>981</v>
      </c>
      <c r="L1278" t="s">
        <v>31</v>
      </c>
      <c r="M1278" s="4">
        <v>0.49</v>
      </c>
      <c r="N1278" s="4">
        <v>0</v>
      </c>
    </row>
    <row r="1279" spans="1:14" x14ac:dyDescent="0.4">
      <c r="A1279">
        <v>1274</v>
      </c>
      <c r="B1279">
        <v>2013</v>
      </c>
      <c r="C1279" t="s">
        <v>2976</v>
      </c>
      <c r="D1279" t="str">
        <f>HYPERLINK("https://ota.tournamentsoftware.com/player-profile/4D303EDB-252F-41F3-ACFD-967A4123F0F1", "Link")</f>
        <v>Link</v>
      </c>
      <c r="E1279" s="2">
        <v>0</v>
      </c>
      <c r="F1279" s="3">
        <v>2</v>
      </c>
      <c r="G1279" t="s">
        <v>109</v>
      </c>
      <c r="H1279" t="s">
        <v>16</v>
      </c>
      <c r="I1279">
        <v>27.4</v>
      </c>
      <c r="J1279" s="3">
        <v>121</v>
      </c>
      <c r="K1279" t="s">
        <v>2977</v>
      </c>
      <c r="L1279" t="s">
        <v>31</v>
      </c>
      <c r="M1279" s="4">
        <v>0.5</v>
      </c>
      <c r="N1279" s="4">
        <v>0</v>
      </c>
    </row>
    <row r="1280" spans="1:14" x14ac:dyDescent="0.4">
      <c r="A1280">
        <v>1274</v>
      </c>
      <c r="B1280">
        <v>2010</v>
      </c>
      <c r="C1280" t="s">
        <v>2978</v>
      </c>
      <c r="D1280" t="str">
        <f>HYPERLINK("https://ota.tournamentsoftware.com/player-profile/35EC41F2-961B-4366-879C-403F31B5908F", "Link")</f>
        <v>Link</v>
      </c>
      <c r="E1280" s="2">
        <v>0</v>
      </c>
      <c r="F1280" s="3">
        <v>1</v>
      </c>
      <c r="G1280" t="s">
        <v>29</v>
      </c>
      <c r="H1280" t="s">
        <v>679</v>
      </c>
      <c r="I1280">
        <v>33.4</v>
      </c>
      <c r="J1280" s="3">
        <v>103</v>
      </c>
      <c r="K1280" t="s">
        <v>2979</v>
      </c>
      <c r="L1280" t="s">
        <v>31</v>
      </c>
      <c r="M1280" s="4">
        <v>0.37</v>
      </c>
      <c r="N1280" s="4">
        <v>0</v>
      </c>
    </row>
    <row r="1281" spans="1:14" x14ac:dyDescent="0.4">
      <c r="A1281">
        <v>1274</v>
      </c>
      <c r="B1281">
        <v>2013</v>
      </c>
      <c r="C1281" t="s">
        <v>2980</v>
      </c>
      <c r="D1281" t="str">
        <f>HYPERLINK("https://ota.tournamentsoftware.com/player-profile/5F3C2697-7DC3-404F-86B1-B1440B580069", "Link")</f>
        <v>Link</v>
      </c>
      <c r="E1281" s="2">
        <v>0</v>
      </c>
      <c r="F1281" s="3">
        <v>1</v>
      </c>
      <c r="G1281" t="s">
        <v>20</v>
      </c>
      <c r="H1281" t="s">
        <v>16</v>
      </c>
      <c r="I1281" t="s">
        <v>48</v>
      </c>
      <c r="J1281" s="3">
        <v>0</v>
      </c>
      <c r="K1281" t="s">
        <v>31</v>
      </c>
      <c r="L1281" t="s">
        <v>31</v>
      </c>
      <c r="M1281" s="4">
        <v>0</v>
      </c>
      <c r="N1281" s="4">
        <v>0</v>
      </c>
    </row>
    <row r="1282" spans="1:14" x14ac:dyDescent="0.4">
      <c r="A1282">
        <v>1274</v>
      </c>
      <c r="B1282">
        <v>2012</v>
      </c>
      <c r="C1282" t="s">
        <v>2981</v>
      </c>
      <c r="D1282" t="str">
        <f>HYPERLINK("https://ota.tournamentsoftware.com/player-profile/0C0EC550-1536-4AE2-9886-E59F56C6C34D", "Link")</f>
        <v>Link</v>
      </c>
      <c r="E1282" s="2">
        <v>0</v>
      </c>
      <c r="F1282" s="3">
        <v>1</v>
      </c>
      <c r="G1282" t="s">
        <v>25</v>
      </c>
      <c r="H1282" t="s">
        <v>1686</v>
      </c>
      <c r="I1282">
        <v>39</v>
      </c>
      <c r="J1282" s="3">
        <v>44</v>
      </c>
      <c r="K1282" t="s">
        <v>2982</v>
      </c>
      <c r="L1282" t="s">
        <v>31</v>
      </c>
      <c r="M1282" s="4">
        <v>0.43</v>
      </c>
      <c r="N1282" s="4">
        <v>0</v>
      </c>
    </row>
    <row r="1283" spans="1:14" x14ac:dyDescent="0.4">
      <c r="A1283">
        <v>1274</v>
      </c>
      <c r="B1283">
        <v>2014</v>
      </c>
      <c r="C1283" t="s">
        <v>2983</v>
      </c>
      <c r="D1283" t="str">
        <f>HYPERLINK("https://ota.tournamentsoftware.com/player-profile/B0B3A3A2-AE08-4A4E-A649-E9C79E31AE29", "Link")</f>
        <v>Link</v>
      </c>
      <c r="E1283" s="2">
        <v>0</v>
      </c>
      <c r="F1283" s="3">
        <v>1</v>
      </c>
      <c r="G1283" t="s">
        <v>109</v>
      </c>
      <c r="H1283" t="s">
        <v>2681</v>
      </c>
      <c r="I1283" t="s">
        <v>48</v>
      </c>
      <c r="J1283" s="3">
        <v>2</v>
      </c>
      <c r="K1283" t="s">
        <v>1524</v>
      </c>
      <c r="L1283" t="s">
        <v>1524</v>
      </c>
      <c r="M1283" s="4">
        <v>0</v>
      </c>
      <c r="N1283" s="4">
        <v>0</v>
      </c>
    </row>
    <row r="1284" spans="1:14" x14ac:dyDescent="0.4">
      <c r="A1284">
        <v>1274</v>
      </c>
      <c r="B1284">
        <v>2018</v>
      </c>
      <c r="C1284" t="s">
        <v>2984</v>
      </c>
      <c r="D1284" t="str">
        <f>HYPERLINK("https://ota.tournamentsoftware.com/player-profile/431D2CD3-AFAF-4751-93F3-322EE0F94387", "Link")</f>
        <v>Link</v>
      </c>
      <c r="E1284" s="2">
        <v>0</v>
      </c>
      <c r="F1284" s="3">
        <v>1</v>
      </c>
      <c r="G1284" t="s">
        <v>109</v>
      </c>
      <c r="H1284" t="s">
        <v>110</v>
      </c>
      <c r="I1284" t="s">
        <v>48</v>
      </c>
      <c r="J1284" s="3">
        <v>84</v>
      </c>
      <c r="K1284" t="s">
        <v>2985</v>
      </c>
      <c r="L1284" t="s">
        <v>815</v>
      </c>
      <c r="M1284" s="4">
        <v>0.48</v>
      </c>
      <c r="N1284" s="4">
        <v>0.81</v>
      </c>
    </row>
    <row r="1285" spans="1:14" x14ac:dyDescent="0.4">
      <c r="A1285">
        <v>1274</v>
      </c>
      <c r="B1285">
        <v>2013</v>
      </c>
      <c r="C1285" t="s">
        <v>2986</v>
      </c>
      <c r="D1285" t="str">
        <f>HYPERLINK("https://ota.tournamentsoftware.com/player-profile/82DF6D3D-A382-4764-B57C-0EA44A762022", "Link")</f>
        <v>Link</v>
      </c>
      <c r="E1285" s="2">
        <v>0</v>
      </c>
      <c r="F1285" s="3">
        <v>2</v>
      </c>
      <c r="G1285" t="s">
        <v>29</v>
      </c>
      <c r="H1285" t="s">
        <v>88</v>
      </c>
      <c r="I1285">
        <v>31.6</v>
      </c>
      <c r="J1285" s="3">
        <v>145</v>
      </c>
      <c r="K1285" t="s">
        <v>2987</v>
      </c>
      <c r="L1285" t="s">
        <v>1126</v>
      </c>
      <c r="M1285" s="4">
        <v>0.48</v>
      </c>
      <c r="N1285" s="4">
        <v>1</v>
      </c>
    </row>
    <row r="1286" spans="1:14" x14ac:dyDescent="0.4">
      <c r="A1286">
        <v>1274</v>
      </c>
      <c r="B1286">
        <v>2011</v>
      </c>
      <c r="C1286" t="s">
        <v>2988</v>
      </c>
      <c r="D1286" t="str">
        <f>HYPERLINK("https://ota.tournamentsoftware.com/player-profile/355D1E47-7120-4077-87C1-6E795DB086FE", "Link")</f>
        <v>Link</v>
      </c>
      <c r="E1286" s="2">
        <v>0</v>
      </c>
      <c r="F1286" s="3">
        <v>2</v>
      </c>
      <c r="G1286" t="s">
        <v>20</v>
      </c>
      <c r="H1286" t="s">
        <v>2799</v>
      </c>
      <c r="I1286" t="s">
        <v>48</v>
      </c>
      <c r="J1286" s="3">
        <v>27</v>
      </c>
      <c r="K1286" t="s">
        <v>2424</v>
      </c>
      <c r="L1286" t="s">
        <v>31</v>
      </c>
      <c r="M1286" s="4">
        <v>0.3</v>
      </c>
      <c r="N1286" s="4">
        <v>0</v>
      </c>
    </row>
    <row r="1287" spans="1:14" x14ac:dyDescent="0.4">
      <c r="A1287">
        <v>1274</v>
      </c>
      <c r="B1287">
        <v>2011</v>
      </c>
      <c r="C1287" t="s">
        <v>2989</v>
      </c>
      <c r="D1287" t="str">
        <f>HYPERLINK("https://ota.tournamentsoftware.com/player-profile/B880285A-1054-4189-940E-A7830547E1FF", "Link")</f>
        <v>Link</v>
      </c>
      <c r="E1287" s="2">
        <v>0</v>
      </c>
      <c r="F1287" s="3">
        <v>1</v>
      </c>
      <c r="G1287" t="s">
        <v>25</v>
      </c>
      <c r="H1287" t="s">
        <v>289</v>
      </c>
      <c r="I1287">
        <v>32.299999999999997</v>
      </c>
      <c r="J1287" s="3">
        <v>69</v>
      </c>
      <c r="K1287" t="s">
        <v>2990</v>
      </c>
      <c r="L1287" t="s">
        <v>433</v>
      </c>
      <c r="M1287" s="4">
        <v>0.54</v>
      </c>
      <c r="N1287" s="4">
        <v>0</v>
      </c>
    </row>
    <row r="1288" spans="1:14" x14ac:dyDescent="0.4">
      <c r="A1288">
        <v>1274</v>
      </c>
      <c r="B1288">
        <v>2011</v>
      </c>
      <c r="C1288" t="s">
        <v>2991</v>
      </c>
      <c r="D1288" t="str">
        <f>HYPERLINK("https://ota.tournamentsoftware.com/player-profile/C974CC42-F664-4736-96F0-DB03875F0A91", "Link")</f>
        <v>Link</v>
      </c>
      <c r="E1288" s="2">
        <v>0</v>
      </c>
      <c r="F1288" s="3">
        <v>1</v>
      </c>
      <c r="G1288" t="s">
        <v>29</v>
      </c>
      <c r="H1288" t="s">
        <v>2992</v>
      </c>
      <c r="I1288" t="s">
        <v>48</v>
      </c>
      <c r="J1288" s="3">
        <v>33</v>
      </c>
      <c r="K1288" t="s">
        <v>2993</v>
      </c>
      <c r="L1288" t="s">
        <v>31</v>
      </c>
      <c r="M1288" s="4">
        <v>0.06</v>
      </c>
      <c r="N1288" s="4">
        <v>0</v>
      </c>
    </row>
    <row r="1289" spans="1:14" x14ac:dyDescent="0.4">
      <c r="A1289">
        <v>1274</v>
      </c>
      <c r="B1289">
        <v>2013</v>
      </c>
      <c r="C1289" t="s">
        <v>2994</v>
      </c>
      <c r="D1289" t="str">
        <f>HYPERLINK("https://ota.tournamentsoftware.com/player-profile/547F074F-3802-41DD-AA8A-42D72F1D24DA", "Link")</f>
        <v>Link</v>
      </c>
      <c r="E1289" s="2">
        <v>0</v>
      </c>
      <c r="F1289" s="3">
        <v>1</v>
      </c>
      <c r="G1289" t="s">
        <v>29</v>
      </c>
      <c r="H1289" t="s">
        <v>141</v>
      </c>
      <c r="I1289" t="s">
        <v>48</v>
      </c>
      <c r="J1289" s="3">
        <v>131</v>
      </c>
      <c r="K1289" t="s">
        <v>2995</v>
      </c>
      <c r="L1289" t="s">
        <v>31</v>
      </c>
      <c r="M1289" s="4">
        <v>0.56000000000000005</v>
      </c>
      <c r="N1289" s="4">
        <v>0</v>
      </c>
    </row>
    <row r="1290" spans="1:14" x14ac:dyDescent="0.4">
      <c r="A1290">
        <v>1274</v>
      </c>
      <c r="B1290">
        <v>2010</v>
      </c>
      <c r="C1290" t="s">
        <v>2996</v>
      </c>
      <c r="D1290" t="str">
        <f>HYPERLINK("https://ota.tournamentsoftware.com/player-profile/B5755D27-50EB-4BFB-AAE5-5E995F22C59E", "Link")</f>
        <v>Link</v>
      </c>
      <c r="E1290" s="2">
        <v>0</v>
      </c>
      <c r="F1290" s="3">
        <v>1</v>
      </c>
      <c r="G1290" t="s">
        <v>29</v>
      </c>
      <c r="H1290" t="s">
        <v>904</v>
      </c>
      <c r="I1290">
        <v>35.200000000000003</v>
      </c>
      <c r="J1290" s="3">
        <v>5</v>
      </c>
      <c r="K1290" t="s">
        <v>1674</v>
      </c>
      <c r="L1290" t="s">
        <v>1284</v>
      </c>
      <c r="M1290" s="4">
        <v>0.2</v>
      </c>
      <c r="N1290" s="4">
        <v>0.33</v>
      </c>
    </row>
    <row r="1291" spans="1:14" x14ac:dyDescent="0.4">
      <c r="A1291">
        <v>1274</v>
      </c>
      <c r="B1291">
        <v>2015</v>
      </c>
      <c r="C1291" t="s">
        <v>2997</v>
      </c>
      <c r="D1291" t="str">
        <f>HYPERLINK("https://ota.tournamentsoftware.com/player-profile/6CEC7945-6D3C-45F9-8672-0E4CFEB75445", "Link")</f>
        <v>Link</v>
      </c>
      <c r="E1291" s="2">
        <v>0</v>
      </c>
      <c r="F1291" s="3">
        <v>1</v>
      </c>
      <c r="G1291" t="s">
        <v>25</v>
      </c>
      <c r="H1291" t="s">
        <v>16</v>
      </c>
      <c r="I1291" t="s">
        <v>48</v>
      </c>
      <c r="J1291" s="3">
        <v>1</v>
      </c>
      <c r="K1291" t="s">
        <v>433</v>
      </c>
      <c r="L1291" t="s">
        <v>31</v>
      </c>
      <c r="M1291" s="4">
        <v>0</v>
      </c>
      <c r="N1291" s="4">
        <v>0</v>
      </c>
    </row>
    <row r="1292" spans="1:14" x14ac:dyDescent="0.4">
      <c r="A1292">
        <v>1274</v>
      </c>
      <c r="B1292">
        <v>2016</v>
      </c>
      <c r="C1292" t="s">
        <v>2998</v>
      </c>
      <c r="D1292" t="str">
        <f>HYPERLINK("https://ota.tournamentsoftware.com/player-profile/1EC2A81F-62E0-4E67-B0BD-B23E18D7220B", "Link")</f>
        <v>Link</v>
      </c>
      <c r="E1292" s="2">
        <v>0</v>
      </c>
      <c r="F1292" s="3">
        <v>3</v>
      </c>
      <c r="G1292" t="s">
        <v>497</v>
      </c>
      <c r="H1292" t="s">
        <v>498</v>
      </c>
      <c r="I1292" t="s">
        <v>48</v>
      </c>
      <c r="J1292" s="3">
        <v>33</v>
      </c>
      <c r="K1292" t="s">
        <v>2219</v>
      </c>
      <c r="L1292" t="s">
        <v>1788</v>
      </c>
      <c r="M1292" s="4">
        <v>0.42</v>
      </c>
      <c r="N1292" s="4">
        <v>0.33</v>
      </c>
    </row>
    <row r="1293" spans="1:14" x14ac:dyDescent="0.4">
      <c r="A1293">
        <v>1274</v>
      </c>
      <c r="B1293">
        <v>2014</v>
      </c>
      <c r="C1293" t="s">
        <v>2999</v>
      </c>
      <c r="D1293" t="str">
        <f>HYPERLINK("https://ota.tournamentsoftware.com/player-profile/FEFEF443-A357-4730-9A34-66FC0948FE89", "Link")</f>
        <v>Link</v>
      </c>
      <c r="E1293" s="2">
        <v>0</v>
      </c>
      <c r="F1293" s="3">
        <v>1</v>
      </c>
      <c r="G1293" t="s">
        <v>109</v>
      </c>
      <c r="H1293" t="s">
        <v>2860</v>
      </c>
      <c r="I1293" t="s">
        <v>48</v>
      </c>
      <c r="J1293" s="3">
        <v>4</v>
      </c>
      <c r="K1293" t="s">
        <v>2237</v>
      </c>
      <c r="L1293" t="s">
        <v>2237</v>
      </c>
      <c r="M1293" s="4">
        <v>0.75</v>
      </c>
      <c r="N1293" s="4">
        <v>0.75</v>
      </c>
    </row>
    <row r="1294" spans="1:14" x14ac:dyDescent="0.4">
      <c r="A1294">
        <v>1274</v>
      </c>
      <c r="B1294">
        <v>2011</v>
      </c>
      <c r="C1294" t="s">
        <v>3000</v>
      </c>
      <c r="D1294" t="str">
        <f>HYPERLINK("https://ota.tournamentsoftware.com/player-profile/323717C6-2291-4855-B93B-F2AC59CBCA2D", "Link")</f>
        <v>Link</v>
      </c>
      <c r="E1294" s="2">
        <v>0</v>
      </c>
      <c r="F1294" s="3">
        <v>1</v>
      </c>
      <c r="G1294" t="s">
        <v>109</v>
      </c>
      <c r="H1294" t="s">
        <v>16</v>
      </c>
      <c r="I1294" t="s">
        <v>48</v>
      </c>
      <c r="J1294" s="3">
        <v>1</v>
      </c>
      <c r="K1294" t="s">
        <v>433</v>
      </c>
      <c r="L1294" t="s">
        <v>31</v>
      </c>
      <c r="M1294" s="4">
        <v>0</v>
      </c>
      <c r="N1294" s="4">
        <v>0</v>
      </c>
    </row>
    <row r="1295" spans="1:14" x14ac:dyDescent="0.4">
      <c r="A1295">
        <v>1274</v>
      </c>
      <c r="B1295">
        <v>2011</v>
      </c>
      <c r="C1295" t="s">
        <v>3001</v>
      </c>
      <c r="D1295" t="str">
        <f>HYPERLINK("https://ota.tournamentsoftware.com/player-profile/AB39C176-BD43-4543-A40E-5B42E0D95A7D", "Link")</f>
        <v>Link</v>
      </c>
      <c r="E1295" s="2">
        <v>0</v>
      </c>
      <c r="F1295" s="3">
        <v>1</v>
      </c>
      <c r="G1295" t="s">
        <v>29</v>
      </c>
      <c r="H1295" t="s">
        <v>1599</v>
      </c>
      <c r="I1295">
        <v>39.799999999999997</v>
      </c>
      <c r="J1295" s="3">
        <v>13</v>
      </c>
      <c r="K1295" t="s">
        <v>734</v>
      </c>
      <c r="L1295" t="s">
        <v>31</v>
      </c>
      <c r="M1295" s="4">
        <v>0.08</v>
      </c>
      <c r="N1295" s="4">
        <v>0</v>
      </c>
    </row>
    <row r="1296" spans="1:14" x14ac:dyDescent="0.4">
      <c r="A1296">
        <v>1274</v>
      </c>
      <c r="B1296">
        <v>2013</v>
      </c>
      <c r="C1296" t="s">
        <v>3002</v>
      </c>
      <c r="D1296" t="str">
        <f>HYPERLINK("https://ota.tournamentsoftware.com/player-profile/4D2FDEB6-0276-45F4-925E-24DEBDAE0480", "Link")</f>
        <v>Link</v>
      </c>
      <c r="E1296" s="2">
        <v>0</v>
      </c>
      <c r="F1296" s="3">
        <v>1</v>
      </c>
      <c r="G1296" t="s">
        <v>109</v>
      </c>
      <c r="H1296" t="s">
        <v>3003</v>
      </c>
      <c r="I1296" t="s">
        <v>48</v>
      </c>
      <c r="J1296" s="3">
        <v>51</v>
      </c>
      <c r="K1296" t="s">
        <v>1179</v>
      </c>
      <c r="L1296" t="s">
        <v>1303</v>
      </c>
      <c r="M1296" s="4">
        <v>0.63</v>
      </c>
      <c r="N1296" s="4">
        <v>0.14000000000000001</v>
      </c>
    </row>
    <row r="1297" spans="1:14" x14ac:dyDescent="0.4">
      <c r="A1297">
        <v>1274</v>
      </c>
      <c r="B1297">
        <v>2012</v>
      </c>
      <c r="C1297" t="s">
        <v>3004</v>
      </c>
      <c r="D1297" t="str">
        <f>HYPERLINK("https://ota.tournamentsoftware.com/player-profile/7DD1598D-363E-4CC6-8A8B-1F80A5B0DD74", "Link")</f>
        <v>Link</v>
      </c>
      <c r="E1297" s="2">
        <v>0</v>
      </c>
      <c r="F1297" s="3">
        <v>4</v>
      </c>
      <c r="G1297" t="s">
        <v>20</v>
      </c>
      <c r="H1297" t="s">
        <v>736</v>
      </c>
      <c r="I1297">
        <v>28.6</v>
      </c>
      <c r="J1297" s="3">
        <v>38</v>
      </c>
      <c r="K1297" t="s">
        <v>2426</v>
      </c>
      <c r="L1297" t="s">
        <v>31</v>
      </c>
      <c r="M1297" s="4">
        <v>0.47</v>
      </c>
      <c r="N1297" s="4">
        <v>0</v>
      </c>
    </row>
    <row r="1298" spans="1:14" x14ac:dyDescent="0.4">
      <c r="A1298">
        <v>1274</v>
      </c>
      <c r="B1298">
        <v>2013</v>
      </c>
      <c r="C1298" t="s">
        <v>3005</v>
      </c>
      <c r="D1298" t="str">
        <f>HYPERLINK("https://ota.tournamentsoftware.com/player-profile/5DA85B9E-6F32-45B3-A991-3931E5489A4E", "Link")</f>
        <v>Link</v>
      </c>
      <c r="E1298" s="2">
        <v>0</v>
      </c>
      <c r="F1298" s="3">
        <v>1</v>
      </c>
      <c r="G1298" t="s">
        <v>29</v>
      </c>
      <c r="H1298" t="s">
        <v>916</v>
      </c>
      <c r="I1298" t="s">
        <v>48</v>
      </c>
      <c r="J1298" s="3">
        <v>16</v>
      </c>
      <c r="K1298" t="s">
        <v>1292</v>
      </c>
      <c r="L1298" t="s">
        <v>31</v>
      </c>
      <c r="M1298" s="4">
        <v>0.31</v>
      </c>
      <c r="N1298" s="4">
        <v>0</v>
      </c>
    </row>
    <row r="1299" spans="1:14" x14ac:dyDescent="0.4">
      <c r="A1299">
        <v>1274</v>
      </c>
      <c r="B1299">
        <v>2016</v>
      </c>
      <c r="C1299" t="s">
        <v>3006</v>
      </c>
      <c r="D1299" t="str">
        <f>HYPERLINK("https://ota.tournamentsoftware.com/player-profile/7F5FED20-A8A2-4789-B65A-E038A618709C", "Link")</f>
        <v>Link</v>
      </c>
      <c r="E1299" s="2">
        <v>0</v>
      </c>
      <c r="F1299" s="3">
        <v>1</v>
      </c>
      <c r="G1299" t="s">
        <v>25</v>
      </c>
      <c r="H1299" t="s">
        <v>754</v>
      </c>
      <c r="I1299" t="s">
        <v>48</v>
      </c>
      <c r="J1299" s="3">
        <v>37</v>
      </c>
      <c r="K1299" t="s">
        <v>3007</v>
      </c>
      <c r="L1299" t="s">
        <v>3008</v>
      </c>
      <c r="M1299" s="4">
        <v>0.59</v>
      </c>
      <c r="N1299" s="4">
        <v>0.76</v>
      </c>
    </row>
    <row r="1300" spans="1:14" x14ac:dyDescent="0.4">
      <c r="A1300">
        <v>1274</v>
      </c>
      <c r="B1300">
        <v>2011</v>
      </c>
      <c r="C1300" t="s">
        <v>3009</v>
      </c>
      <c r="D1300" t="str">
        <f>HYPERLINK("https://ota.tournamentsoftware.com/player-profile/5D39A7BC-A061-4F77-9AC3-6B8489BBC538", "Link")</f>
        <v>Link</v>
      </c>
      <c r="E1300" s="2">
        <v>0</v>
      </c>
      <c r="F1300" s="3">
        <v>1</v>
      </c>
      <c r="G1300" t="s">
        <v>29</v>
      </c>
      <c r="H1300" t="s">
        <v>1599</v>
      </c>
      <c r="I1300" t="s">
        <v>48</v>
      </c>
      <c r="J1300" s="3">
        <v>1</v>
      </c>
      <c r="K1300" t="s">
        <v>433</v>
      </c>
      <c r="L1300" t="s">
        <v>31</v>
      </c>
      <c r="M1300" s="4">
        <v>0</v>
      </c>
      <c r="N1300" s="4">
        <v>0</v>
      </c>
    </row>
    <row r="1301" spans="1:14" x14ac:dyDescent="0.4">
      <c r="A1301">
        <v>1274</v>
      </c>
      <c r="B1301">
        <v>2012</v>
      </c>
      <c r="C1301" t="s">
        <v>3010</v>
      </c>
      <c r="D1301" t="str">
        <f>HYPERLINK("https://ota.tournamentsoftware.com/player-profile/9426FF37-0A02-443C-8DB6-7BBD2A6749E7", "Link")</f>
        <v>Link</v>
      </c>
      <c r="E1301" s="2">
        <v>0</v>
      </c>
      <c r="F1301" s="3">
        <v>1</v>
      </c>
      <c r="G1301" t="s">
        <v>25</v>
      </c>
      <c r="H1301" t="s">
        <v>16</v>
      </c>
      <c r="I1301">
        <v>39.700000000000003</v>
      </c>
      <c r="J1301" s="3">
        <v>9</v>
      </c>
      <c r="K1301" t="s">
        <v>1706</v>
      </c>
      <c r="L1301" t="s">
        <v>1524</v>
      </c>
      <c r="M1301" s="4">
        <v>0</v>
      </c>
      <c r="N1301" s="4">
        <v>0</v>
      </c>
    </row>
  </sheetData>
  <autoFilter ref="A1:N1301" xr:uid="{00000000-0009-0000-0000-000001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Week 36-2026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Velic, Miralem (MPBSDP)</dc:creator>
  <cp:lastModifiedBy>Velic, Miralem (MPBSDP)</cp:lastModifiedBy>
  <dcterms:created xsi:type="dcterms:W3CDTF">2015-06-05T18:17:20Z</dcterms:created>
  <dcterms:modified xsi:type="dcterms:W3CDTF">2026-09-09T17:20:19Z</dcterms:modified>
</cp:coreProperties>
</file>